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3403" documentId="11_0B1D56BE9CDCCE836B02CE7A5FB0D4A9BBFD1C62" xr6:coauthVersionLast="47" xr6:coauthVersionMax="47" xr10:uidLastSave="{D5D1A1E9-6FEE-4738-94CE-64DDE07B3441}"/>
  <bookViews>
    <workbookView xWindow="-120" yWindow="-120" windowWidth="38640" windowHeight="21120" xr2:uid="{00000000-000D-0000-FFFF-FFFF00000000}"/>
  </bookViews>
  <sheets>
    <sheet name="Cards" sheetId="1" r:id="rId1"/>
    <sheet name="Info" sheetId="2" r:id="rId2"/>
    <sheet name="Training Setups" sheetId="6" r:id="rId3"/>
    <sheet name="Provincial and Undermarket" sheetId="3" r:id="rId4"/>
    <sheet name="Court" sheetId="4" r:id="rId5"/>
    <sheet name="Battlefield" sheetId="5" r:id="rId6"/>
    <sheet name="Printable Cards" sheetId="7" r:id="rId7"/>
    <sheet name="Components" sheetId="8" r:id="rId8"/>
    <sheet name="Playtesting"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 i="7" l="1"/>
  <c r="BA5" i="7"/>
  <c r="AB1" i="7"/>
  <c r="BB5" i="7"/>
  <c r="AC1" i="7"/>
  <c r="BC5" i="7"/>
  <c r="AD1" i="7"/>
  <c r="BD5" i="7"/>
  <c r="AE1" i="7"/>
  <c r="BE5" i="7"/>
  <c r="AF1" i="7"/>
  <c r="BF5" i="7"/>
  <c r="AG1" i="7"/>
  <c r="BG5" i="7"/>
  <c r="AH1" i="7"/>
  <c r="BH5" i="7"/>
  <c r="AI1" i="7"/>
  <c r="BI5" i="7"/>
  <c r="AA2" i="7"/>
  <c r="BA6" i="7"/>
  <c r="AB2" i="7"/>
  <c r="BB6" i="7"/>
  <c r="AC2" i="7"/>
  <c r="BC6" i="7"/>
  <c r="AD2" i="7"/>
  <c r="BD6" i="7"/>
  <c r="AE2" i="7"/>
  <c r="BE6" i="7"/>
  <c r="AF2" i="7"/>
  <c r="BF6" i="7"/>
  <c r="AG2" i="7"/>
  <c r="BG6" i="7"/>
  <c r="AH2" i="7"/>
  <c r="BH6" i="7"/>
  <c r="AI2" i="7"/>
  <c r="BI6" i="7"/>
  <c r="A1" i="7"/>
  <c r="AJ1" i="7"/>
  <c r="B1" i="7"/>
  <c r="AK1" i="7"/>
  <c r="C1" i="7"/>
  <c r="AL1" i="7"/>
  <c r="D1" i="7"/>
  <c r="AM1" i="7"/>
  <c r="E1" i="7"/>
  <c r="AN1" i="7"/>
  <c r="F1" i="7"/>
  <c r="AO1" i="7"/>
  <c r="G1" i="7"/>
  <c r="AP1" i="7"/>
  <c r="H1" i="7"/>
  <c r="AQ1" i="7"/>
  <c r="I1" i="7"/>
  <c r="AR1" i="7"/>
  <c r="J1" i="7"/>
  <c r="AS1" i="7"/>
  <c r="K1" i="7"/>
  <c r="AT1" i="7"/>
  <c r="L1" i="7"/>
  <c r="AU1" i="7" s="1"/>
  <c r="M1" i="7"/>
  <c r="AV1" i="7"/>
  <c r="N1" i="7"/>
  <c r="AW1" i="7"/>
  <c r="O1" i="7"/>
  <c r="AX1" i="7"/>
  <c r="P1" i="7"/>
  <c r="AY1" i="7"/>
  <c r="Q1" i="7"/>
  <c r="AZ1" i="7"/>
  <c r="R1" i="7"/>
  <c r="BA1" i="7"/>
  <c r="S1" i="7"/>
  <c r="BB1" i="7"/>
  <c r="T1" i="7"/>
  <c r="BC1" i="7"/>
  <c r="U1" i="7"/>
  <c r="BD1" i="7"/>
  <c r="V1" i="7"/>
  <c r="BE1" i="7"/>
  <c r="W1" i="7"/>
  <c r="BF1" i="7"/>
  <c r="X1" i="7"/>
  <c r="BG1" i="7"/>
  <c r="Y1" i="7"/>
  <c r="BH1" i="7"/>
  <c r="Z1" i="7"/>
  <c r="BI1" i="7"/>
  <c r="A2" i="7"/>
  <c r="AJ2" i="7"/>
  <c r="B2" i="7"/>
  <c r="AK2" i="7"/>
  <c r="C2" i="7"/>
  <c r="AL2" i="7"/>
  <c r="D2" i="7"/>
  <c r="AM2" i="7"/>
  <c r="E2" i="7"/>
  <c r="AN2" i="7"/>
  <c r="F2" i="7"/>
  <c r="AO2" i="7"/>
  <c r="G2" i="7"/>
  <c r="AP2" i="7"/>
  <c r="H2" i="7"/>
  <c r="AQ2" i="7"/>
  <c r="I2" i="7"/>
  <c r="AR2" i="7"/>
  <c r="J2" i="7"/>
  <c r="AS2" i="7"/>
  <c r="K2" i="7"/>
  <c r="AT2" i="7"/>
  <c r="L2" i="7"/>
  <c r="AU2" i="7"/>
  <c r="M2" i="7"/>
  <c r="AV2" i="7"/>
  <c r="N2" i="7"/>
  <c r="AW2" i="7"/>
  <c r="O2" i="7"/>
  <c r="AX2" i="7"/>
  <c r="P2" i="7"/>
  <c r="AY2" i="7"/>
  <c r="Q2" i="7"/>
  <c r="AZ2" i="7"/>
  <c r="R2" i="7"/>
  <c r="BA2" i="7"/>
  <c r="S2" i="7"/>
  <c r="BB2" i="7"/>
  <c r="T2" i="7"/>
  <c r="BC2" i="7"/>
  <c r="U2" i="7"/>
  <c r="BD2" i="7"/>
  <c r="V2" i="7"/>
  <c r="BE2" i="7"/>
  <c r="W2" i="7"/>
  <c r="BF2" i="7"/>
  <c r="X2" i="7"/>
  <c r="BG2" i="7"/>
  <c r="Y2" i="7"/>
  <c r="BH2" i="7"/>
  <c r="Z2" i="7"/>
  <c r="BI2" i="7"/>
  <c r="A6" i="7"/>
  <c r="AI6" i="7"/>
  <c r="B6" i="7"/>
  <c r="AJ6" i="7"/>
  <c r="C6" i="7"/>
  <c r="AK6" i="7"/>
  <c r="D6" i="7"/>
  <c r="AL6" i="7"/>
  <c r="E6" i="7"/>
  <c r="AM6" i="7"/>
  <c r="F6" i="7"/>
  <c r="AN6" i="7"/>
  <c r="G6" i="7"/>
  <c r="AO6" i="7"/>
  <c r="H6" i="7"/>
  <c r="AP6" i="7"/>
  <c r="I6" i="7"/>
  <c r="AQ6" i="7"/>
  <c r="J6" i="7"/>
  <c r="AR6" i="7"/>
  <c r="K6" i="7"/>
  <c r="AS6" i="7"/>
  <c r="L6" i="7"/>
  <c r="AT6" i="7"/>
  <c r="M6" i="7"/>
  <c r="AU6" i="7"/>
  <c r="N6" i="7"/>
  <c r="AV6" i="7"/>
  <c r="O6" i="7"/>
  <c r="AW6" i="7"/>
  <c r="P6" i="7"/>
  <c r="AX6" i="7"/>
  <c r="Q6" i="7"/>
  <c r="AY6" i="7"/>
  <c r="R6" i="7"/>
  <c r="S6" i="7"/>
  <c r="T6" i="7"/>
  <c r="U6" i="7"/>
  <c r="V6" i="7"/>
  <c r="W6" i="7"/>
  <c r="X6" i="7"/>
  <c r="Y6" i="7"/>
  <c r="Z6" i="7"/>
  <c r="AA6" i="7"/>
  <c r="AB6" i="7"/>
  <c r="AC6" i="7"/>
  <c r="AD6" i="7"/>
  <c r="AE6" i="7"/>
  <c r="AF6" i="7"/>
  <c r="AG6" i="7"/>
  <c r="AH6" i="7"/>
  <c r="A5" i="7"/>
  <c r="AI5" i="7"/>
  <c r="B5" i="7"/>
  <c r="AJ5" i="7"/>
  <c r="C5" i="7"/>
  <c r="AK5" i="7"/>
  <c r="D5" i="7"/>
  <c r="AL5" i="7"/>
  <c r="E5" i="7"/>
  <c r="AM5" i="7"/>
  <c r="F5" i="7"/>
  <c r="AN5" i="7"/>
  <c r="G5" i="7"/>
  <c r="AO5" i="7"/>
  <c r="H5" i="7"/>
  <c r="AP5" i="7"/>
  <c r="I5" i="7"/>
  <c r="AQ5" i="7"/>
  <c r="J5" i="7"/>
  <c r="AR5" i="7"/>
  <c r="K5" i="7"/>
  <c r="AS5" i="7"/>
  <c r="L5" i="7"/>
  <c r="AT5" i="7"/>
  <c r="M5" i="7"/>
  <c r="AU5" i="7"/>
  <c r="N5" i="7"/>
  <c r="AV5" i="7"/>
  <c r="O5" i="7"/>
  <c r="AW5" i="7"/>
  <c r="P5" i="7"/>
  <c r="AX5" i="7"/>
  <c r="Q5" i="7"/>
  <c r="AY5" i="7"/>
  <c r="R5" i="7"/>
  <c r="S5" i="7"/>
  <c r="T5" i="7"/>
  <c r="U5" i="7"/>
  <c r="V5" i="7"/>
  <c r="W5" i="7"/>
  <c r="X5" i="7"/>
  <c r="Y5" i="7"/>
  <c r="Z5" i="7"/>
  <c r="AA5" i="7"/>
  <c r="AB5" i="7"/>
  <c r="AC5" i="7"/>
  <c r="AD5" i="7"/>
  <c r="AE5" i="7"/>
  <c r="AF5" i="7"/>
  <c r="AG5" i="7"/>
  <c r="AH5" i="7"/>
  <c r="AD4" i="7"/>
  <c r="BH4" i="7"/>
  <c r="AC4" i="7"/>
  <c r="BG4" i="7"/>
  <c r="AB4" i="7"/>
  <c r="BF4" i="7" s="1"/>
  <c r="AA4" i="7"/>
  <c r="BE4" i="7" s="1"/>
  <c r="Z4" i="7"/>
  <c r="BD4" i="7" s="1"/>
  <c r="Y4" i="7"/>
  <c r="BC4" i="7" s="1"/>
  <c r="X4" i="7"/>
  <c r="BB4" i="7"/>
  <c r="W4" i="7"/>
  <c r="BA4" i="7"/>
  <c r="V4" i="7"/>
  <c r="AZ4" i="7"/>
  <c r="U4" i="7"/>
  <c r="AY4" i="7"/>
  <c r="T4" i="7"/>
  <c r="AX4" i="7"/>
  <c r="S4" i="7"/>
  <c r="AW4" i="7"/>
  <c r="P4" i="7"/>
  <c r="AT4" i="7"/>
  <c r="O4" i="7"/>
  <c r="AS4" i="7"/>
  <c r="N4" i="7"/>
  <c r="AR4" i="7"/>
  <c r="M4" i="7"/>
  <c r="AQ4" i="7"/>
  <c r="L4" i="7"/>
  <c r="AP4" i="7"/>
  <c r="K4" i="7"/>
  <c r="AO4" i="7"/>
  <c r="H4" i="7"/>
  <c r="AL4" i="7"/>
  <c r="G4" i="7"/>
  <c r="AK4" i="7"/>
  <c r="F4" i="7"/>
  <c r="AJ4" i="7"/>
  <c r="E4" i="7"/>
  <c r="AI4" i="7"/>
  <c r="D4" i="7"/>
  <c r="AH4" i="7"/>
  <c r="C4" i="7"/>
  <c r="AG4" i="7"/>
  <c r="B4" i="7"/>
  <c r="AF4" i="7"/>
  <c r="A4" i="7"/>
  <c r="AE4" i="7"/>
  <c r="A3" i="7"/>
  <c r="AE3" i="7"/>
  <c r="B3" i="7"/>
  <c r="AF3" i="7"/>
  <c r="C3" i="7"/>
  <c r="AG3" i="7"/>
  <c r="D3" i="7"/>
  <c r="AH3" i="7"/>
  <c r="E3" i="7"/>
  <c r="AI3" i="7"/>
  <c r="F3" i="7"/>
  <c r="AJ3" i="7"/>
  <c r="G3" i="7"/>
  <c r="AK3" i="7"/>
  <c r="H3" i="7"/>
  <c r="AL3" i="7"/>
  <c r="I3" i="7"/>
  <c r="AM3" i="7"/>
  <c r="J3" i="7"/>
  <c r="AN3" i="7"/>
  <c r="K3" i="7"/>
  <c r="AO3" i="7"/>
  <c r="L3" i="7"/>
  <c r="AP3" i="7"/>
  <c r="M3" i="7"/>
  <c r="AQ3" i="7"/>
  <c r="N3" i="7"/>
  <c r="AR3" i="7"/>
  <c r="O3" i="7"/>
  <c r="AS3" i="7"/>
  <c r="P3" i="7"/>
  <c r="AT3" i="7"/>
  <c r="Q3" i="7"/>
  <c r="AU3" i="7"/>
  <c r="R3" i="7"/>
  <c r="AV3" i="7"/>
  <c r="S3" i="7"/>
  <c r="AW3" i="7"/>
  <c r="T3" i="7"/>
  <c r="AX3" i="7"/>
  <c r="U3" i="7"/>
  <c r="AY3" i="7"/>
  <c r="V3" i="7"/>
  <c r="AZ3" i="7"/>
  <c r="W3" i="7"/>
  <c r="BA3" i="7"/>
  <c r="X3" i="7"/>
  <c r="BB3" i="7"/>
  <c r="Y3" i="7"/>
  <c r="BC3" i="7"/>
  <c r="Z3" i="7"/>
  <c r="BD3" i="7"/>
  <c r="AA3" i="7"/>
  <c r="BE3" i="7"/>
  <c r="AB3" i="7"/>
  <c r="BF3" i="7"/>
  <c r="AC3" i="7"/>
  <c r="BG3" i="7"/>
  <c r="AD3" i="7"/>
  <c r="BH3" i="7"/>
  <c r="B2" i="8"/>
  <c r="B4" i="8"/>
  <c r="B3" i="8"/>
  <c r="B20" i="8"/>
  <c r="B19" i="8"/>
  <c r="B18" i="8"/>
  <c r="B12" i="8"/>
  <c r="B13" i="8"/>
  <c r="B10" i="8"/>
  <c r="B11" i="8"/>
  <c r="B9" i="8"/>
  <c r="B8" i="8"/>
  <c r="B7" i="8"/>
  <c r="B6" i="8"/>
  <c r="B5" i="8"/>
  <c r="R4" i="7"/>
  <c r="AV4" i="7"/>
  <c r="Q4" i="7"/>
  <c r="AU4" i="7"/>
  <c r="J4" i="7"/>
  <c r="AN4" i="7"/>
  <c r="I4" i="7"/>
  <c r="AM4" i="7"/>
</calcChain>
</file>

<file path=xl/sharedStrings.xml><?xml version="1.0" encoding="utf-8"?>
<sst xmlns="http://schemas.openxmlformats.org/spreadsheetml/2006/main" count="770" uniqueCount="524">
  <si>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</si>
  <si>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</si>
  <si>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</si>
  <si>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</si>
  <si>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</si>
  <si>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</si>
  <si>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</si>
  <si>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</si>
  <si>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</si>
  <si>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</si>
  <si>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</si>
  <si>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</si>
  <si>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</si>
  <si>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Give $D6 Troops to Player $R</t>
  </si>
  <si>
    <t>2H</t>
  </si>
  <si>
    <t>Legal Research</t>
  </si>
  <si>
    <t xml:space="preserve">Decentralized Wealth </t>
  </si>
  <si>
    <t>The Royal Bank may not have more than $L6 Coins or all Players suffer sanctions on Undermarket Actions</t>
  </si>
  <si>
    <t>Blatant Thievery</t>
  </si>
  <si>
    <t>Give $D6 Coins to Player $R</t>
  </si>
  <si>
    <t>3H</t>
  </si>
  <si>
    <t>Collection Stations</t>
  </si>
  <si>
    <t xml:space="preserve">You may gain up to $L6 additional Coins when Taxing other Players </t>
  </si>
  <si>
    <t>Second Thoughts</t>
  </si>
  <si>
    <t>Double Agents</t>
  </si>
  <si>
    <t>Give $D6 Spies to Player $R</t>
  </si>
  <si>
    <t>4H</t>
  </si>
  <si>
    <t>Brown Nose</t>
  </si>
  <si>
    <t>Gain $L3 additional Coins during Flatter</t>
  </si>
  <si>
    <t>Changing Times</t>
  </si>
  <si>
    <t>Questionable Reallocation</t>
  </si>
  <si>
    <t>Give $D6 Commodities to Player $R</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</si>
  <si>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</si>
  <si>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</si>
  <si>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</si>
  <si>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</si>
  <si>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</si>
  <si>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</si>
  <si>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Give the King's Favor to Player $R</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</si>
  <si>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</si>
  <si>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</si>
  <si>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</si>
  <si>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</si>
  <si>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</si>
  <si>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</si>
  <si>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Player $R may peek at the Law card at the top of the queue &amp; put it on the bottom of the queue if they want</t>
  </si>
  <si>
    <t>7H</t>
  </si>
  <si>
    <t>Eager Youth</t>
  </si>
  <si>
    <t>Gain 1 additional Troop for free after Recruiting every 4 - $L3 Troops</t>
  </si>
  <si>
    <t>Insider Trading</t>
  </si>
  <si>
    <t>Give $D6 random Cards from your hand to Player $R</t>
  </si>
  <si>
    <t>8H</t>
  </si>
  <si>
    <t>Honorable Cause</t>
  </si>
  <si>
    <t>Gain 1 additional Spy for free after Infiltrating every 4 - $L3 Spies</t>
  </si>
  <si>
    <t>Royal Amendment</t>
  </si>
  <si>
    <t>Whispers of the People</t>
  </si>
  <si>
    <t>9H</t>
  </si>
  <si>
    <t>Loyal Citizenry</t>
  </si>
  <si>
    <t>Purchase up to $L6 additional Troops during Recruit</t>
  </si>
  <si>
    <t>Dangerous Monopolies</t>
  </si>
  <si>
    <t>Destroy an Investment at level $D6</t>
  </si>
  <si>
    <t>10H</t>
  </si>
  <si>
    <t>Silvertounge</t>
  </si>
  <si>
    <t>Purchase up to $L6 additional Spies during Infiltrate (at normal cost)</t>
  </si>
  <si>
    <t>Frivolous Pursuits</t>
  </si>
  <si>
    <t>Corporate Takeover</t>
  </si>
  <si>
    <t>Send an Investment at level $D6 to Player $R</t>
  </si>
  <si>
    <t>JH</t>
  </si>
  <si>
    <t>Royal Bribes</t>
  </si>
  <si>
    <t>Gain $L3 more Commodities per Coin when Buying from the Court</t>
  </si>
  <si>
    <t>Economic Backbone</t>
  </si>
  <si>
    <t>Each Player must have an Investment with at least level $L6 or they will suffer sanctions on Infiltrate</t>
  </si>
  <si>
    <t>Sabotage</t>
  </si>
  <si>
    <t>Downgrade an Investment at level $D6</t>
  </si>
  <si>
    <t>QH</t>
  </si>
  <si>
    <t>Flashy Combatants</t>
  </si>
  <si>
    <t>Collective Ownership</t>
  </si>
  <si>
    <t>No Player may have an Investment higher than level $L6 or they will suffer sanctions on Infiltrate</t>
  </si>
  <si>
    <t>Poor Management</t>
  </si>
  <si>
    <t>KH</t>
  </si>
  <si>
    <t>Market Niche</t>
  </si>
  <si>
    <t>Aggressive Tactics</t>
  </si>
  <si>
    <t>Each Player must deploy at least $L6 Troops or they will suffer sanctions on Petition &amp; Postpone</t>
  </si>
  <si>
    <t>Kill a Leader at level $D6</t>
  </si>
  <si>
    <t>AS</t>
  </si>
  <si>
    <t>Genius Commanders</t>
  </si>
  <si>
    <t>Draw $L6 additional cards from any decks during Brainstorm</t>
  </si>
  <si>
    <t>Home Defense</t>
  </si>
  <si>
    <t>No Player may deploy more than $L6 Troops or they will suffer sanctions on Petition &amp; Postpone</t>
  </si>
  <si>
    <t>Betrayal</t>
  </si>
  <si>
    <t>Send a Leader at level $D6 to Player $R</t>
  </si>
  <si>
    <t>2S</t>
  </si>
  <si>
    <t>Damage Redemption</t>
  </si>
  <si>
    <t>Purchase $L3 Spies (at normal cost) when targeted by a Scheme</t>
  </si>
  <si>
    <t>Valuable Advisors</t>
  </si>
  <si>
    <t>Each Player must have at least $L6 sponsored Laws active or in the queue or they will suffer sanctions on Tax</t>
  </si>
  <si>
    <t>Intimidate</t>
  </si>
  <si>
    <t>Demote a Leader at level $D6</t>
  </si>
  <si>
    <t>3S</t>
  </si>
  <si>
    <t>Undeniable Advisors</t>
  </si>
  <si>
    <t>You may repeat Court Actions with level 7 - $L6 Leaders</t>
  </si>
  <si>
    <t>Chattering Windbags</t>
  </si>
  <si>
    <t>No Player may have more than $L6 sponsored Laws active or in the queue or they will suffer sanctions on Tax</t>
  </si>
  <si>
    <t>Humiliate</t>
  </si>
  <si>
    <t>4S</t>
  </si>
  <si>
    <t>Heavy Overtme</t>
  </si>
  <si>
    <t>You may repeat $L3 Provincial Actions per round</t>
  </si>
  <si>
    <t>Realistic Priorities</t>
  </si>
  <si>
    <t>Backroom Deal</t>
  </si>
  <si>
    <t>5S</t>
  </si>
  <si>
    <t>Bulk Purchaser</t>
  </si>
  <si>
    <t>Trade up to $L3 additional Coins when Buying from the Court</t>
  </si>
  <si>
    <t>Threat to the Throne</t>
  </si>
  <si>
    <t>6S</t>
  </si>
  <si>
    <t>Valuable Cargo</t>
  </si>
  <si>
    <t>Trade for up to $L3 additional Coins when Selling to the Court</t>
  </si>
  <si>
    <t>Stone Foundations</t>
  </si>
  <si>
    <t>Each Player must Harvest at least $L6 Commodities this round or they will suffer sanctions on Recruit</t>
  </si>
  <si>
    <t>7S</t>
  </si>
  <si>
    <t>Elite Troops</t>
  </si>
  <si>
    <t>Gain $L3 additional Coins from the Royal Bank when Deploying Troops</t>
  </si>
  <si>
    <t>Environmental Guardians</t>
  </si>
  <si>
    <t>No Player may Harvest more than $L6 Commodities this round or they will suffer sanctions on Recruit</t>
  </si>
  <si>
    <t>8S</t>
  </si>
  <si>
    <t>Bazaar</t>
  </si>
  <si>
    <t>Provides private Buy Action at Market Rate + $L3</t>
  </si>
  <si>
    <t>Resilient Officer Corps</t>
  </si>
  <si>
    <t>9S</t>
  </si>
  <si>
    <t>Caravansaray</t>
  </si>
  <si>
    <t>Provides private Sell Action at Market Rate - $L3</t>
  </si>
  <si>
    <t>Bloated Bureaucracy</t>
  </si>
  <si>
    <t>No Player may have more than $L6 Leaders or they will suffer sanctions on Build &amp; Upgrade</t>
  </si>
  <si>
    <t>10S</t>
  </si>
  <si>
    <t>War Machines</t>
  </si>
  <si>
    <t>Purchase and immediately add up to $L3 Troops to your force when deploying them</t>
  </si>
  <si>
    <t>Police Force</t>
  </si>
  <si>
    <t>Each Player must have at least $L6 Troops or they will suffer sanctions on Harvest</t>
  </si>
  <si>
    <t>JS</t>
  </si>
  <si>
    <t>Training Grounds</t>
  </si>
  <si>
    <t>Equal Partners</t>
  </si>
  <si>
    <t>No Player may have more than $L6 Troops or they will suffer sanctions on Harvest</t>
  </si>
  <si>
    <t>QS</t>
  </si>
  <si>
    <t>Criminal Identification</t>
  </si>
  <si>
    <t>KS</t>
  </si>
  <si>
    <t>Eager Laborers</t>
  </si>
  <si>
    <t>Collect $L6 additional Commodities during Harvests</t>
  </si>
  <si>
    <t>Honorable Marketplace</t>
  </si>
  <si>
    <t>AD</t>
  </si>
  <si>
    <t>Wary Guards</t>
  </si>
  <si>
    <t>Subtract $L3 from Scheme Guard rolls</t>
  </si>
  <si>
    <t>Engaged Empire</t>
  </si>
  <si>
    <t>2D</t>
  </si>
  <si>
    <t>Information Security</t>
  </si>
  <si>
    <t>Subtract $L3 from Scheme Card rolls</t>
  </si>
  <si>
    <t>Suspicious Advisors</t>
  </si>
  <si>
    <t>3D</t>
  </si>
  <si>
    <t>Blood Pact</t>
  </si>
  <si>
    <t>Spend $L3 fewer Commodities per Coin when Selling to the Undermarket</t>
  </si>
  <si>
    <t>Contingency Plans</t>
  </si>
  <si>
    <t>Each Player must have at least $L6 Cards in hand or they will suffer sanctions on Monetize</t>
  </si>
  <si>
    <t>4D</t>
  </si>
  <si>
    <t>Expert Broker</t>
  </si>
  <si>
    <t>Spend $L3 fewer Commodities per Coin when Selling to the Court</t>
  </si>
  <si>
    <t>Worthless Procrastinators</t>
  </si>
  <si>
    <t>No Player may have more than $L6 Cards in their hand or they will suffer sanctions on Monetize</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</si>
  <si>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</si>
  <si>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</si>
  <si>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</si>
  <si>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</si>
  <si>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</si>
  <si>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</si>
  <si>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</si>
  <si>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</si>
  <si>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</si>
  <si>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</si>
  <si>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</si>
  <si>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</si>
  <si>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</si>
  <si>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</si>
  <si>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</si>
  <si>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</si>
  <si>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</si>
  <si>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</si>
  <si>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</si>
  <si>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</si>
  <si>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</si>
  <si>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</si>
  <si>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</si>
  <si>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</si>
  <si>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</si>
  <si>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</si>
  <si>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</si>
  <si>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</si>
  <si>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</si>
  <si>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</si>
  <si>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</si>
  <si>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</si>
  <si>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</si>
  <si>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</si>
  <si>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</si>
  <si>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</si>
  <si>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</si>
  <si>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Deploy Troops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</si>
  <si>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</si>
  <si>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</si>
  <si>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</si>
  <si>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</si>
  <si>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</si>
  <si>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</si>
  <si>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Target Player rolls a die. If the result is higher than half their Troops, the Scheme is executed. Otherwise, the Scheme fails. (Scheme Guard Roll)</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</si>
  <si>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</si>
  <si>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</si>
  <si>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</si>
  <si>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</si>
  <si>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</si>
  <si>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</si>
  <si>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</si>
  <si>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</si>
  <si>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</si>
  <si>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</si>
  <si>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</si>
  <si>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</si>
  <si>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</si>
  <si>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</si>
  <si>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</si>
  <si>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</si>
  <si>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</si>
  <si>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</si>
  <si>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</si>
  <si>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</si>
  <si>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</si>
  <si>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</si>
  <si>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</si>
  <si>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</si>
  <si>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</si>
  <si>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</si>
  <si>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</si>
  <si>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</si>
  <si>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</si>
  <si>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</si>
  <si>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</si>
  <si>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Harvest</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</si>
  <si>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</si>
  <si>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</si>
  <si>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</si>
  <si>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</si>
  <si>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</si>
  <si>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</si>
  <si>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</si>
  <si>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</si>
  <si>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</si>
  <si>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</si>
  <si>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</si>
  <si>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</si>
  <si>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</si>
  <si>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</si>
  <si>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</si>
  <si>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</si>
  <si>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</si>
  <si>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</si>
  <si>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</si>
  <si>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</si>
  <si>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</si>
  <si>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</si>
  <si>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</si>
  <si>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</si>
  <si>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Prepare</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</si>
  <si>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</si>
  <si>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</si>
  <si>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</si>
  <si>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</si>
  <si>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</si>
  <si>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</si>
  <si>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</si>
  <si>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</si>
  <si>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</si>
  <si>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</si>
  <si>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</si>
  <si>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</si>
  <si>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</si>
  <si>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</si>
  <si>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</si>
  <si>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</si>
  <si>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</si>
  <si>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</si>
  <si>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</si>
  <si>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</si>
  <si>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</si>
  <si>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</si>
  <si>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Deployed Greeks</t>
  </si>
  <si>
    <t>Persian</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</si>
  <si>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</si>
  <si>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</si>
  <si>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</si>
  <si>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</si>
  <si>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</si>
  <si>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</si>
  <si>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</si>
  <si>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</si>
  <si>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</si>
  <si>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</si>
  <si>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</si>
  <si>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</si>
  <si>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</si>
  <si>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</si>
  <si>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</si>
  <si>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</si>
  <si>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</si>
  <si>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</si>
  <si>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</si>
  <si>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</si>
  <si>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</si>
  <si>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</si>
  <si>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</si>
  <si>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</si>
  <si>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</si>
  <si>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</si>
  <si>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</si>
  <si>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</si>
  <si>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</si>
  <si>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</si>
  <si>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</si>
  <si>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</si>
  <si>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</si>
  <si>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</si>
  <si>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</si>
  <si>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</si>
  <si>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</si>
  <si>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</si>
  <si>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</si>
  <si>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</si>
  <si>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</si>
  <si>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</si>
  <si>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</si>
  <si>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</si>
  <si>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</si>
  <si>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</si>
  <si>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</si>
  <si>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</si>
  <si>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</si>
  <si>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</si>
  <si>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</si>
  <si>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Court Buy</t>
  </si>
  <si>
    <t>Court Buy with 4 Coins</t>
  </si>
  <si>
    <t>Upgrade Eager Laborers by 2 Levels</t>
  </si>
  <si>
    <t>Court Sell for 3 Coins</t>
  </si>
  <si>
    <t>Private Sell for 2 Coins</t>
  </si>
  <si>
    <t>Infiltrate 2 Spies</t>
  </si>
  <si>
    <t>Postpone with Level 1 Leader</t>
  </si>
  <si>
    <t>Set Deliberated Laws to 2</t>
  </si>
  <si>
    <t>Petition both Laws</t>
  </si>
  <si>
    <t>Build Level 2 Investment</t>
  </si>
  <si>
    <t>Deploy 2 Troops with 1 extra</t>
  </si>
  <si>
    <t>Private Sell</t>
  </si>
  <si>
    <t>Court Monetize with Law and Scheme cards for 2 Coins</t>
  </si>
  <si>
    <t>Undermarket Sell for 4 Coins</t>
  </si>
  <si>
    <t>Negotiate with Head Banker</t>
  </si>
  <si>
    <t>Negotiate with Chief Scribe</t>
  </si>
  <si>
    <t>Master of Lies Schemes against Rival with himself as Receiver</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</si>
  <si>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</si>
  <si>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</si>
  <si>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</si>
  <si>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</si>
  <si>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</si>
  <si>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</si>
  <si>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</si>
  <si>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</si>
  <si>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Setup</t>
  </si>
  <si>
    <t>Find starting Investments and Law</t>
  </si>
  <si>
    <t>Place 4 Greeks per player in the Greek Reserves of the Battlefield</t>
  </si>
  <si>
    <t>Place 3 Coins plus 1 per player in the Royal Bank</t>
  </si>
  <si>
    <t>Place a non-player die in the Market Rate with value 3</t>
  </si>
  <si>
    <t>Place your Investments in front of your shield and place a non-player die on each showing level 2</t>
  </si>
  <si>
    <t>Place four of your player dice in front of your shield showing level 2. These are your Leaders.</t>
  </si>
  <si>
    <t>Mark your Law and place it facedown near the Court</t>
  </si>
  <si>
    <t>Without looking at the player Laws, stack them facedown near the Court in turn order. Each player's mark should be visible in the stack. The Veteran's Law should be on top, and the Crime Lord's should be on the bottom.</t>
  </si>
  <si>
    <t>Take the dice, favors, and card markers of your color</t>
  </si>
  <si>
    <t>Place one of your favors on the scoretrack on the outside of the Battlefield</t>
  </si>
  <si>
    <t>Give each player 2 cards from each deck for their hand. Tell each player to keep the cards private.</t>
  </si>
  <si>
    <t>Take the King's Favor and place it in front of your shield</t>
  </si>
  <si>
    <t>Give 4 Troops to each player. Tell them to keep Troops in front of their shield.</t>
  </si>
  <si>
    <t>Give 1 Spy to each player. Tell them to keep Spies behind their shield.</t>
  </si>
  <si>
    <t>Give 3 Coins to each player. Tell them to keep Coins behind their shield.</t>
  </si>
  <si>
    <t>Spies, cards</t>
  </si>
  <si>
    <t>Place 2 markers from each Player in each Scheme envelope. Then, give each player an envelope and tell them to keep it behind their shield.</t>
  </si>
  <si>
    <t>Take the Troops and put them near you in plain sight of all players</t>
  </si>
  <si>
    <t>Take the Spies and put them near you in plain sight of all players</t>
  </si>
  <si>
    <t>Take the Coins and Commodities and put them near you in plain sight of all players</t>
  </si>
  <si>
    <t>Take the Battlefield and non-player dice and put them near you in plain sight of all players</t>
  </si>
  <si>
    <t>Take the Scheme envelopes</t>
  </si>
  <si>
    <t>Once all players have collected their starting cards, shuffle the three decks. Give each player 2 cards from each deck for their hand. Tell each player to keep the cards private.</t>
  </si>
  <si>
    <t>Startup</t>
  </si>
  <si>
    <t>Set your Law to 2 when the Chief Scribe asks you</t>
  </si>
  <si>
    <t>Reveal the top card in the Law queue and have the Veteran set the value. Read the deliberated Law and tell players it is not currently active but will be at the end of the round.</t>
  </si>
  <si>
    <t>Round 1</t>
  </si>
  <si>
    <t>Round 2</t>
  </si>
  <si>
    <t>Round 3</t>
  </si>
  <si>
    <t>Night</t>
  </si>
  <si>
    <t>Take one of your unused leaders and place it on the Buy space of the Court. Explain you want some Commodities and will pay the Court 2 Coins in exchange for 3 Commodities per Coin. The number of Commodities is determined by the Market Rate. Place 2 Coins in the Royal Bank and take 6 Commodities. Explain that you will lower the Market Rate by 1 since Commodities are now a little more rare.</t>
  </si>
  <si>
    <t>Take one of your unused leaders and place it on Flatter in the Court. Explain you would like the King's Favor since it is worth 1 Honor at the end of the game and that it breaks any tie during the game. Explain that the king also sends you home with some cash. Take 1 Coin (half your Leader's level) from the Royal Bank.</t>
  </si>
  <si>
    <t>Take one of your unused leaders and place it on the Recruit space of the Province. Explain you want to get some Troops, so you will pay  2 Coins to the people of your Province. Put 2 Coins in the pile, not the Royal Bank, and take 2 Troops. Explain that the Coins do not go to the Royal Bank during Recruit.</t>
  </si>
  <si>
    <t>Take one of your unused leaders and place it on the Persian spaces of the Battlefield. Place 2 of your Troops in the same space. Explain you want to deploy 2 Troops to fight the Greeks. Since you are the player with the most Troops deployed, you will be the General at the end of the round and gain 1 Honor (Victory Point). Explain the king pays you for your Troops then take 1 Coin (half Troop count) from the Royal Bank.</t>
  </si>
  <si>
    <t>Take one of your unused leaders and place it in a Persian space of the Battlefield. Explain you also want to deploy 2 Troops, but you have War Machines which allows you to purchase more and deploy them immediately. Pay 1 Coin to gain 1 Troop then deploy 3 Troops. Since you now have the most Troops, you will be the General at the end of the round. The king then pays you half your deployed Troops (rounded up), so take 2 Coins from the Royal Bank.</t>
  </si>
  <si>
    <t>Take one of your unused Leaders and place it on Harvest in the Province. Explain you want to get some Commodities, but the Court Buy space is already taken, nor would it get you any more than Harvest. Explain only one player per round may take Court actions. Instead, you will gain 2 Commodities, one for each of your Leader's level.</t>
  </si>
  <si>
    <t>Deploy an unused leader and 2 Troops into the Battlefield then take 1 Coin from the Royal Bank. Explain you have Elite Troops which gets you more Coins during deployment then take 2 more Coins from the Royal Bank.</t>
  </si>
  <si>
    <t>Place an unused leader on Prepare in the Court. Explain you want to know what the next few Laws are. You also have Legal Research, so look at any 4 Laws in the queue that are not your own. Explain you may not rearrange the Laws while looking at them.</t>
  </si>
  <si>
    <t>Deploy 2 Troops and take 1 Coin from the Royal Bank.</t>
  </si>
  <si>
    <t>Place an unused leader on Brainstorm in the Province. Explain you want more cards then take a card from each deck for each level of your Leader (2 cards from each deck).</t>
  </si>
  <si>
    <t>Brainstorm and gain 2 cards from each deck. Explain your Genius Commanders also give you two more cards. Take 2 Investments in addition to your other cards.</t>
  </si>
  <si>
    <t>Place an unused leader on Promote in the Province and immediately increase its level by 1. Explain you want a more powerful leader and are willing to spend an action to get it.</t>
  </si>
  <si>
    <t>Place an unused leader on Monetize in the Court. Explain you want some Coins and don't want your cards. This action allows you to gain Coins in exchange for the opposite of the Market Rate in cards (7 - Market Rate). You also have Market Niche, so discard 3 non-Scheme cards and take 1 Coin from the Royal Bank. Explain you do not change the Market Rate for selling ideas.</t>
  </si>
  <si>
    <t>Place an unused leader on Sell in the Province Undermarket. Explain you want Coins in exchange for your Commodities since the Market Rate is so low. Normally, the Undermarket would be worse than the Court, but you have Blood Pact which makes it better for you. Pay 2 Commodities for 2 Coins from outside the Royal Bank. Explain you are dealing with the Undermarket, not the king, so you aren't restricted by the Royal Bank. Increase the Market Rate by 1 since Commodities are now less rare.</t>
  </si>
  <si>
    <t>Place an unused leader on Buy in the Province Undermarket. Explain you want Commodities but have to take a worse rate since the Court Buy has already been used. Exchange 2 Coins for 4 Commodities outside the Royal Bank. Decrease the Market Rate by 1.</t>
  </si>
  <si>
    <t>Place an unused leader on Negotiate in the Province. Explain you want to form an alliance with the Crime Lord, and he must put one of his unused leaders on the same space. Both players then exchange 2 favors, one for each leader level. Explain favors are worth Honor at the end of the game.</t>
  </si>
  <si>
    <t>You have a card that allows you to Monetize at a better rate, so place an unused leader on that card. Then, discard 3 Schemes and 3 Laws to gain 2 Coins outside the Royal Bank.</t>
  </si>
  <si>
    <t>You have no more leaders left, so you must pass for the rest of the round.</t>
  </si>
  <si>
    <t>Place an unused leader on Commission in the Province. Explain you want another leader, so take a leader from behind your shield and place it on the same space with half the level of the first leader.</t>
  </si>
  <si>
    <t>Harvest 1 Commodity for each of your leader's levels.</t>
  </si>
  <si>
    <t>All players are out of leaders, so the round ends and moves to the event phase.</t>
  </si>
  <si>
    <t>1. Explain there are no active Laws, so no one has to pay Taxes. Since no one broke any Laws, the King's Favor stays where it is.</t>
  </si>
  <si>
    <t>2. Now, we fight the Greeks. I deployed the most Troops, so I am the General and will gain 1 Honor now. I will roll 1 die for each player, cut each die value in half (rounded up) then total the result. This is how many Greeks we have to fight. Each Greek and Persian Troop in the battle will kill each other, and whichever side has remaining troops wins (we win ties). If we win, each player who deployed Troops will gain 1 Honor. If we lose, the remaining Greeks will attack our Provinces. See rulebook for Battle details.</t>
  </si>
  <si>
    <t>3. After the battle, everyone collects their leaders from the board.</t>
  </si>
  <si>
    <t>4. I will take everyone's Sheme envelopes, mix them up, then open them one by one. If there are any Schemes, we will resolve them. Then, I will return the reset envelopes to players.</t>
  </si>
  <si>
    <t>5. Since no one postponed this deliberated Law, it becomes active. From now on, all players must obey it or their leaders will have one less level when taking the sanctioned action and pay a tax at the end of the round. I will also reveal the next Law for deliberation. It was sponsored by the Master of Lies, so they will choose its value. This Law is not active until the end of the next round.</t>
  </si>
  <si>
    <t>5. Set your Law to 2 when the Chief Scribe asks you</t>
  </si>
  <si>
    <t>6. There are still Greeks left, so we will play another round.</t>
  </si>
  <si>
    <t>7. The king has many other financial interests and has made some money. I will add 3 Coins to the Royal Bank and adjust the Market Rate by 1 in a random direction. See rulebook for Market Rate adjustment details.</t>
  </si>
  <si>
    <t>8. I have the King's Favor, so I will start the next round.</t>
  </si>
  <si>
    <t>Scheme Instructions</t>
  </si>
  <si>
    <t>At some point during the next round, place a Spy into the Scheme envelope with a Scheme card of your choice. Place a marker for the Warmongerer in the top left corner of the card and a marker for one of your Allies in the bottom right corner.</t>
  </si>
  <si>
    <t>At some point during the next round, place a Spy into the Scheme envelope with a Scheme card of your choice. Place a marker for the Chief Scribe in the top left corner of the card and a your own marker in the bottom right corner.</t>
  </si>
  <si>
    <t>You are doing great! Keep up the good work.</t>
  </si>
  <si>
    <t>Court Buy with 2 Coins</t>
  </si>
  <si>
    <t>Deploy 2 Troops with 1 War Machine</t>
  </si>
  <si>
    <t>Court Monetize with 3 non-scheme cards</t>
  </si>
  <si>
    <t>Undermarket Sell for 2 Coins</t>
  </si>
  <si>
    <t>Brainstorm with 2 extra Investments</t>
  </si>
  <si>
    <t>Negotiate with Crime Lord</t>
  </si>
  <si>
    <t>Monetize with 3 Schemes and 3 Laws</t>
  </si>
  <si>
    <t>Change the boundary of an active Law to $L6</t>
  </si>
  <si>
    <t>Irregular Partiality</t>
  </si>
  <si>
    <t>Place an unused leader on Accuse in the Province. Explain you want to fight the Master of Lies, and they must place one of their unused leaders on the same space. Both players then put 1 Coin into the Royal Bank and roll dice to resolve the Accuse. Each Accuse has three rounds. The player who rolls more hits wins a round. The player who wins the best two out of three rounds wins the Accuse. Each die rolled higher than 3 counts as a hit. Tied rounds are repeated unless a player has the King's Favor to break the tie. You have Training Grounds which give you an automatic two hits each Roll. Perform the Accuse. Whoever wins takes two Coins from the Royal Bank and gains 1 Honor.</t>
  </si>
  <si>
    <t>Accuse Crime Lord</t>
  </si>
  <si>
    <t>Accuse Veteran</t>
  </si>
  <si>
    <t>Accuse Master of Lies</t>
  </si>
  <si>
    <t>Honorable Accontability</t>
  </si>
  <si>
    <t>Desperate Attorneys</t>
  </si>
  <si>
    <t>Mock Trials</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</si>
  <si>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</si>
  <si>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</si>
  <si>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</si>
  <si>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</si>
  <si>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</si>
  <si>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Sue using a Leader with at least level $L6 this round or they will suffer sanctions on Deploy Troops</t>
  </si>
  <si>
    <t>No Player may Sue using a Leader higher than level $L6 this round or they will suffer sanctions on Deploy Troops</t>
  </si>
  <si>
    <t>Each Player must have a Leader with at least level $L6 or they will suffer sanctions on Sue</t>
  </si>
  <si>
    <t>No Player may have a Leader higher than level $L6 or they will suffer sanctions on Sue</t>
  </si>
  <si>
    <t>Add $L3 Hits to each Roll during a Sue</t>
  </si>
  <si>
    <t>Add $L6 additional dice to each Roll during a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</si>
  <si>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</si>
  <si>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</si>
  <si>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</si>
  <si>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</si>
  <si>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</si>
  <si>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</si>
  <si>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</si>
  <si>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</si>
  <si>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</si>
  <si>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</si>
  <si>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</si>
  <si>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</si>
  <si>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</si>
  <si>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</si>
  <si>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</si>
  <si>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</si>
  <si>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</si>
  <si>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</si>
  <si>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</si>
  <si>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</si>
  <si>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</si>
  <si>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Spend $L3 fewer Cards per Coin when Monetizing in the Undermarket</t>
  </si>
  <si>
    <t>Fire Temple</t>
  </si>
  <si>
    <t>Spend $L3 fewer Cards per Coin when Monetizing in the Court</t>
  </si>
  <si>
    <t>Skillful Orators</t>
  </si>
  <si>
    <t>Gain $L3 additional Coins from outside the Royal Bank when winning a Sue</t>
  </si>
  <si>
    <t>Move the Law $L6 additional places forward in the queue during Prioritize</t>
  </si>
  <si>
    <t>1 per Sue won</t>
  </si>
  <si>
    <t>Setup End</t>
  </si>
  <si>
    <t>Scoring End</t>
  </si>
  <si>
    <t>Lowest Score</t>
  </si>
  <si>
    <t>Highest Score</t>
  </si>
  <si>
    <t>Rearrange $D3 Law cards from the top of the queue</t>
  </si>
  <si>
    <t>Ratify deliberated Law and set value of next deliberated Law</t>
  </si>
  <si>
    <t>Trade for up to $L3 additional Coins when Monetizing in the Undermarket</t>
  </si>
  <si>
    <t>Trade for up to $L3 additional Coins when Monetizing in the Court</t>
  </si>
  <si>
    <t>Heavy Overtime</t>
  </si>
  <si>
    <t>Assassination</t>
  </si>
  <si>
    <t>Exchange a random held Alliance Token, or one of your own if you hold none, with one of the choice of Player $R</t>
  </si>
  <si>
    <t>Courtroom Gambling</t>
  </si>
  <si>
    <t>Kingdom Advocates</t>
  </si>
  <si>
    <t>Exchange Alliance tokens with a Player of your choice. The chosen Player must place a Leader on this space. Both players then exchange up to the lowest LL tokens.</t>
  </si>
  <si>
    <t>If Greeks are victorious, give remaining attacking Greeks to the player who deployed the fewest Troops (break ties with deployment order then with a Tie Trial or agreement). That player destroys 1 Troop per attacking Greek or 1 investment at level $D6 if they have no Troops.</t>
  </si>
  <si>
    <t>Add 1 Coin per Player to Royal Bank</t>
  </si>
  <si>
    <t>Give 1 Troop per Player to each player</t>
  </si>
  <si>
    <t>Send Troops up to Leader's Level to the Battlefield</t>
  </si>
  <si>
    <t>Donate</t>
  </si>
  <si>
    <t>Pay up to Leader's Level Coins to the Royal Bank and immediately gain half the Coins paid in Honor</t>
  </si>
  <si>
    <t>Pay up to Leader's Level Coins to the Royal Bank and immediately gain half the Coins paid in Honor. Immediately demote the Leader used.</t>
  </si>
  <si>
    <t>Convert $L3 additional Coins during Court Donate</t>
  </si>
  <si>
    <t>Convert $L3 additional Coins during Undermarket Donate</t>
  </si>
  <si>
    <t>Abusive Power</t>
  </si>
  <si>
    <t>Soup Kitchens</t>
  </si>
  <si>
    <t>At least $L6 Players must use Deploy or all Players suffer sanctions on Donate</t>
  </si>
  <si>
    <t>No more than $L6 Players may use Deploy or all Players suffer sanctions on Donate</t>
  </si>
  <si>
    <t>Stalled Front</t>
  </si>
  <si>
    <t>Quality Strength</t>
  </si>
  <si>
    <t>Move one of your Laws $D6 spaces back in the Queue</t>
  </si>
  <si>
    <t>Move $D6 of your Laws one space back in the Queue</t>
  </si>
  <si>
    <t>Rallied Opposition</t>
  </si>
  <si>
    <t>Waning Support</t>
  </si>
  <si>
    <t>At least $L6 Players must use Court Actions or all Players suffer sanctions on Flatter</t>
  </si>
  <si>
    <t>No more than $L6 Players may use Court Actions or all Players suffer sanctions on Flatter</t>
  </si>
  <si>
    <t>At least $L6 Players must use Undermarket Actions or all Players suffer sanctions on Prioritize</t>
  </si>
  <si>
    <t>No more than $L6 Players may use Undermarket Actions or all Players suffer sanctions on Prioritize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</si>
</sst>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10" x14ac:knownFonts="1">
    <font>
      <sz val="11"/>
      <color theme="1"/>
      <name val="Aptos Narrow"/>
      <family val="2"/>
      <scheme val="minor"/>
    </font>
    <font>
      <sz val="14"/>
      <color theme="1"/>
      <name val="Aptos Narrow"/>
      <family val="2"/>
      <scheme val="minor"/>
    </font>
    <font>
      <sz val="16"/>
      <color theme="1"/>
      <name val="Aptos Narrow"/>
      <family val="2"/>
      <scheme val="minor"/>
    </font>
    <font>
      <sz val="18"/>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6"/>
      <color rgb="FFFFFF66"/>
      <name val="Aptos Narrow"/>
      <family val="2"/>
      <scheme val="minor"/>
    </font>
    <font>
      <b/>
      <sz val="11"/>
      <color theme="1"/>
      <name val="Aptos Narrow"/>
      <family val="2"/>
      <scheme val="minor"/>
    </font>
    <font>
      <b/>
      <sz val="16"/>
      <color theme="1"/>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FFE269"/>
        <bgColor indexed="64"/>
      </patternFill>
    </fill>
    <fill>
      <patternFill patternType="solid">
        <fgColor rgb="FFE5CDA9"/>
        <bgColor indexed="64"/>
      </patternFill>
    </fill>
    <fill>
      <patternFill patternType="solid">
        <fgColor rgb="FF00B050"/>
        <bgColor indexed="64"/>
      </patternFill>
    </fill>
  </fills>
  <borders count="62">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s>
  <cellStyleXfs count="1">
    <xf numFmtId="0" fontId="0" fillId="0" borderId="0"/>
  </cellStyleXfs>
  <cellXfs count="131">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5" fillId="0" borderId="0" xfId="0" applyFont="1"/>
    <xf numFmtId="0" fontId="5" fillId="0" borderId="0" xfId="0" applyFont="1" applyAlignment="1">
      <alignment horizontal="center" vertical="center" wrapText="1"/>
    </xf>
    <xf numFmtId="0" fontId="5" fillId="0" borderId="18" xfId="0" applyFont="1" applyBorder="1" applyAlignment="1">
      <alignment horizontal="center" vertical="center" wrapText="1"/>
    </xf>
    <xf numFmtId="0" fontId="5" fillId="0" borderId="19" xfId="0" applyFont="1" applyBorder="1" applyAlignment="1">
      <alignment horizontal="center" vertical="center" wrapText="1"/>
    </xf>
    <xf numFmtId="0" fontId="5" fillId="0" borderId="26" xfId="0" applyFont="1" applyBorder="1" applyAlignment="1">
      <alignment horizontal="center" vertical="center" wrapText="1"/>
    </xf>
    <xf numFmtId="0" fontId="5" fillId="0" borderId="27" xfId="0" applyFont="1" applyBorder="1" applyAlignment="1">
      <alignment horizontal="center" vertical="center" wrapText="1"/>
    </xf>
    <xf numFmtId="0" fontId="5" fillId="0" borderId="17" xfId="0" applyFont="1" applyBorder="1" applyAlignment="1">
      <alignment horizontal="center" vertical="center" wrapText="1"/>
    </xf>
    <xf numFmtId="0" fontId="5" fillId="0" borderId="29" xfId="0" applyFont="1" applyBorder="1" applyAlignment="1">
      <alignment horizontal="center" vertical="center" wrapText="1"/>
    </xf>
    <xf numFmtId="0" fontId="5"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5" fillId="0" borderId="46" xfId="0" applyFont="1" applyBorder="1" applyAlignment="1">
      <alignment horizontal="center" vertical="center" wrapText="1"/>
    </xf>
    <xf numFmtId="0" fontId="4" fillId="3" borderId="17" xfId="0" applyFont="1" applyFill="1" applyBorder="1" applyAlignment="1">
      <alignment horizontal="center" vertical="top"/>
    </xf>
    <xf numFmtId="0" fontId="7" fillId="5" borderId="30" xfId="0" applyFont="1" applyFill="1" applyBorder="1" applyAlignment="1">
      <alignment horizontal="center" vertical="center"/>
    </xf>
    <xf numFmtId="0" fontId="7" fillId="5" borderId="28" xfId="0" applyFont="1" applyFill="1" applyBorder="1" applyAlignment="1">
      <alignment horizontal="center" vertical="center"/>
    </xf>
    <xf numFmtId="0" fontId="7" fillId="5" borderId="17" xfId="0" applyFont="1" applyFill="1" applyBorder="1" applyAlignment="1">
      <alignment horizontal="center" vertical="center"/>
    </xf>
    <xf numFmtId="0" fontId="5" fillId="2" borderId="29" xfId="0" applyFont="1" applyFill="1" applyBorder="1" applyAlignment="1">
      <alignment horizontal="left" vertical="center" wrapText="1"/>
    </xf>
    <xf numFmtId="0" fontId="2" fillId="2" borderId="30" xfId="0" applyFont="1" applyFill="1" applyBorder="1" applyAlignment="1">
      <alignment horizontal="left" vertical="center" textRotation="180" wrapText="1"/>
    </xf>
    <xf numFmtId="0" fontId="0" fillId="0" borderId="27" xfId="0" applyBorder="1"/>
    <xf numFmtId="0" fontId="8" fillId="0" borderId="17" xfId="0" applyFont="1" applyBorder="1" applyAlignment="1">
      <alignment horizontal="center" vertical="center"/>
    </xf>
    <xf numFmtId="0" fontId="8"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1" xfId="0" applyBorder="1" applyAlignment="1">
      <alignment horizontal="left" vertical="center" wrapText="1"/>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9" fillId="0" borderId="26" xfId="0" applyFont="1" applyBorder="1" applyAlignment="1">
      <alignment horizontal="center" vertical="top" wrapText="1"/>
    </xf>
    <xf numFmtId="0" fontId="9" fillId="0" borderId="20" xfId="0" applyFont="1" applyBorder="1" applyAlignment="1">
      <alignment horizontal="center" vertical="top" wrapText="1"/>
    </xf>
    <xf numFmtId="0" fontId="9" fillId="0" borderId="19" xfId="0" applyFont="1" applyBorder="1" applyAlignment="1">
      <alignment horizontal="center" vertical="top" wrapText="1"/>
    </xf>
    <xf numFmtId="0" fontId="9"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9" fillId="0" borderId="27" xfId="0" applyFont="1" applyBorder="1" applyAlignment="1">
      <alignment horizontal="center" vertical="top" wrapText="1"/>
    </xf>
    <xf numFmtId="0" fontId="9" fillId="0" borderId="22" xfId="0" applyFont="1" applyBorder="1" applyAlignment="1">
      <alignment horizontal="center" vertical="top" wrapText="1"/>
    </xf>
    <xf numFmtId="0" fontId="9" fillId="0" borderId="0" xfId="0" applyFont="1" applyAlignment="1">
      <alignment horizontal="center" vertical="top" wrapText="1"/>
    </xf>
    <xf numFmtId="0" fontId="9"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2" fillId="0" borderId="20" xfId="0" applyFont="1" applyBorder="1" applyAlignment="1">
      <alignment horizontal="left" vertical="center" textRotation="180" wrapText="1"/>
    </xf>
    <xf numFmtId="0" fontId="2" fillId="0" borderId="22" xfId="0" applyFont="1" applyBorder="1" applyAlignment="1">
      <alignment horizontal="left" vertical="center" textRotation="180" wrapText="1"/>
    </xf>
    <xf numFmtId="0" fontId="2" fillId="0" borderId="26" xfId="0" applyFont="1" applyBorder="1" applyAlignment="1">
      <alignment horizontal="center" vertical="center" textRotation="180" wrapText="1"/>
    </xf>
    <xf numFmtId="0" fontId="2" fillId="0" borderId="28" xfId="0" applyFont="1" applyBorder="1" applyAlignment="1">
      <alignment horizontal="center" vertical="center" textRotation="180" wrapText="1"/>
    </xf>
    <xf numFmtId="0" fontId="6" fillId="3" borderId="46" xfId="0" applyFont="1" applyFill="1" applyBorder="1" applyAlignment="1">
      <alignment horizontal="center" vertical="center"/>
    </xf>
    <xf numFmtId="0" fontId="6" fillId="3" borderId="29" xfId="0" applyFont="1" applyFill="1" applyBorder="1" applyAlignment="1">
      <alignment horizontal="center" vertical="center"/>
    </xf>
    <xf numFmtId="0" fontId="6" fillId="3" borderId="30" xfId="0" applyFont="1" applyFill="1" applyBorder="1" applyAlignment="1">
      <alignment horizontal="center" vertical="center"/>
    </xf>
    <xf numFmtId="0" fontId="1" fillId="4" borderId="46" xfId="0" applyFont="1" applyFill="1" applyBorder="1" applyAlignment="1">
      <alignment horizontal="center" vertical="center"/>
    </xf>
    <xf numFmtId="0" fontId="1" fillId="4" borderId="29" xfId="0" applyFont="1" applyFill="1" applyBorder="1" applyAlignment="1">
      <alignment horizontal="center" vertical="center"/>
    </xf>
    <xf numFmtId="0" fontId="1" fillId="4" borderId="21" xfId="0" applyFont="1" applyFill="1" applyBorder="1" applyAlignment="1">
      <alignment horizontal="center" vertical="top"/>
    </xf>
    <xf numFmtId="0" fontId="1" fillId="4" borderId="0" xfId="0" applyFont="1" applyFill="1" applyAlignment="1">
      <alignment horizontal="center" vertical="top"/>
    </xf>
    <xf numFmtId="0" fontId="1" fillId="4" borderId="23" xfId="0" applyFont="1" applyFill="1" applyBorder="1" applyAlignment="1">
      <alignment horizontal="center" vertical="top"/>
    </xf>
    <xf numFmtId="0" fontId="1" fillId="4" borderId="24" xfId="0" applyFont="1" applyFill="1" applyBorder="1" applyAlignment="1">
      <alignment horizontal="center" vertical="top"/>
    </xf>
    <xf numFmtId="0" fontId="3" fillId="4" borderId="21"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23" xfId="0" applyFont="1" applyFill="1" applyBorder="1" applyAlignment="1">
      <alignment horizontal="center" vertical="center" wrapText="1"/>
    </xf>
    <xf numFmtId="0" fontId="3" fillId="4" borderId="24"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 fillId="4" borderId="20" xfId="0" applyFont="1" applyFill="1" applyBorder="1" applyAlignment="1">
      <alignment horizontal="center" vertical="center" wrapText="1"/>
    </xf>
    <xf numFmtId="0" fontId="3" fillId="4" borderId="22" xfId="0" applyFont="1" applyFill="1" applyBorder="1" applyAlignment="1">
      <alignment horizontal="center" vertical="center" wrapText="1"/>
    </xf>
    <xf numFmtId="0" fontId="3" fillId="4" borderId="25" xfId="0" applyFont="1" applyFill="1" applyBorder="1" applyAlignment="1">
      <alignment horizontal="center" vertical="center" wrapText="1"/>
    </xf>
    <xf numFmtId="0" fontId="3" fillId="4" borderId="19"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Medium9"/>
  <colors>
    <mruColors>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xdr:from>
      <xdr:col>0</xdr:col>
      <xdr:colOff>1371600</xdr:colOff>
      <xdr:row>3</xdr:row>
      <xdr:rowOff>485775</xdr:rowOff>
    </xdr:from>
    <xdr:to>
      <xdr:col>0</xdr:col>
      <xdr:colOff>1685925</xdr:colOff>
      <xdr:row>3</xdr:row>
      <xdr:rowOff>1047750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1352550</xdr:colOff>
      <xdr:row>3</xdr:row>
      <xdr:rowOff>257175</xdr:rowOff>
    </xdr:from>
    <xdr:to>
      <xdr:col>1</xdr:col>
      <xdr:colOff>1666875</xdr:colOff>
      <xdr:row>3</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1523999</xdr:colOff>
      <xdr:row>3</xdr:row>
      <xdr:rowOff>561974</xdr:rowOff>
    </xdr:from>
    <xdr:to>
      <xdr:col>1</xdr:col>
      <xdr:colOff>1914524</xdr:colOff>
      <xdr:row>3</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0</xdr:col>
      <xdr:colOff>1533525</xdr:colOff>
      <xdr:row>3</xdr:row>
      <xdr:rowOff>361950</xdr:rowOff>
    </xdr:from>
    <xdr:to>
      <xdr:col>0</xdr:col>
      <xdr:colOff>1924050</xdr:colOff>
      <xdr:row>3</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2</xdr:col>
      <xdr:colOff>1466850</xdr:colOff>
      <xdr:row>3</xdr:row>
      <xdr:rowOff>466725</xdr:rowOff>
    </xdr:from>
    <xdr:to>
      <xdr:col>2</xdr:col>
      <xdr:colOff>1857375</xdr:colOff>
      <xdr:row>3</xdr:row>
      <xdr:rowOff>857250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333375</xdr:colOff>
      <xdr:row>2</xdr:row>
      <xdr:rowOff>352425</xdr:rowOff>
    </xdr:from>
    <xdr:to>
      <xdr:col>0</xdr:col>
      <xdr:colOff>973455</xdr:colOff>
      <xdr:row>2</xdr:row>
      <xdr:rowOff>992505</xdr:rowOff>
    </xdr:to>
    <xdr:sp macro="" textlink="">
      <xdr:nvSpPr>
        <xdr:cNvPr id="2" name="Rectangle: Rounded Corners 1">
          <a:extLst>
            <a:ext uri="{FF2B5EF4-FFF2-40B4-BE49-F238E27FC236}">
              <a16:creationId xmlns:a16="http://schemas.microsoft.com/office/drawing/2014/main" id="{AF595A18-8BC9-1AB3-2507-B99CA810F8C7}"/>
            </a:ext>
          </a:extLst>
        </xdr:cNvPr>
        <xdr:cNvSpPr/>
      </xdr:nvSpPr>
      <xdr:spPr>
        <a:xfrm>
          <a:off x="6477000" y="1619250"/>
          <a:ext cx="640080" cy="640080"/>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1104900</xdr:colOff>
      <xdr:row>2</xdr:row>
      <xdr:rowOff>476250</xdr:rowOff>
    </xdr:from>
    <xdr:to>
      <xdr:col>0</xdr:col>
      <xdr:colOff>1714499</xdr:colOff>
      <xdr:row>2</xdr:row>
      <xdr:rowOff>866775</xdr:rowOff>
    </xdr:to>
    <xdr:sp macro="" textlink="">
      <xdr:nvSpPr>
        <xdr:cNvPr id="3" name="TextBox 2">
          <a:extLst>
            <a:ext uri="{FF2B5EF4-FFF2-40B4-BE49-F238E27FC236}">
              <a16:creationId xmlns:a16="http://schemas.microsoft.com/office/drawing/2014/main" id="{CD98B757-2725-CFEA-9F1E-E10DABC43828}"/>
            </a:ext>
          </a:extLst>
        </xdr:cNvPr>
        <xdr:cNvSpPr txBox="1"/>
      </xdr:nvSpPr>
      <xdr:spPr>
        <a:xfrm>
          <a:off x="7248525" y="1743075"/>
          <a:ext cx="609599" cy="39052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0</xdr:col>
      <xdr:colOff>152399</xdr:colOff>
      <xdr:row>2</xdr:row>
      <xdr:rowOff>1019175</xdr:rowOff>
    </xdr:from>
    <xdr:to>
      <xdr:col>0</xdr:col>
      <xdr:colOff>1123950</xdr:colOff>
      <xdr:row>2</xdr:row>
      <xdr:rowOff>1209675</xdr:rowOff>
    </xdr:to>
    <xdr:sp macro="" textlink="">
      <xdr:nvSpPr>
        <xdr:cNvPr id="4" name="TextBox 3">
          <a:extLst>
            <a:ext uri="{FF2B5EF4-FFF2-40B4-BE49-F238E27FC236}">
              <a16:creationId xmlns:a16="http://schemas.microsoft.com/office/drawing/2014/main" id="{70D4C764-A3BB-E899-A2E3-E823438DB606}"/>
            </a:ext>
          </a:extLst>
        </xdr:cNvPr>
        <xdr:cNvSpPr txBox="1"/>
      </xdr:nvSpPr>
      <xdr:spPr>
        <a:xfrm>
          <a:off x="6296024" y="2286000"/>
          <a:ext cx="971551" cy="190500"/>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Commodities</a:t>
          </a:r>
        </a:p>
      </xdr:txBody>
    </xdr:sp>
    <xdr:clientData/>
  </xdr:twoCellAnchor>
  <xdr:twoCellAnchor>
    <xdr:from>
      <xdr:col>0</xdr:col>
      <xdr:colOff>1200150</xdr:colOff>
      <xdr:row>2</xdr:row>
      <xdr:rowOff>790575</xdr:rowOff>
    </xdr:from>
    <xdr:to>
      <xdr:col>0</xdr:col>
      <xdr:colOff>1685926</xdr:colOff>
      <xdr:row>2</xdr:row>
      <xdr:rowOff>971550</xdr:rowOff>
    </xdr:to>
    <xdr:sp macro="" textlink="">
      <xdr:nvSpPr>
        <xdr:cNvPr id="5" name="TextBox 4">
          <a:extLst>
            <a:ext uri="{FF2B5EF4-FFF2-40B4-BE49-F238E27FC236}">
              <a16:creationId xmlns:a16="http://schemas.microsoft.com/office/drawing/2014/main" id="{AF500BE7-3C59-4CF3-A98E-31BBF855D8B8}"/>
            </a:ext>
          </a:extLst>
        </xdr:cNvPr>
        <xdr:cNvSpPr txBox="1"/>
      </xdr:nvSpPr>
      <xdr:spPr>
        <a:xfrm>
          <a:off x="7343775" y="2057400"/>
          <a:ext cx="485776" cy="18097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Coin</a:t>
          </a:r>
        </a:p>
      </xdr:txBody>
    </xdr:sp>
    <xdr:clientData/>
  </xdr:twoCellAnchor>
  <xdr:twoCellAnchor>
    <xdr:from>
      <xdr:col>0</xdr:col>
      <xdr:colOff>1323975</xdr:colOff>
      <xdr:row>1</xdr:row>
      <xdr:rowOff>514350</xdr:rowOff>
    </xdr:from>
    <xdr:to>
      <xdr:col>0</xdr:col>
      <xdr:colOff>1638300</xdr:colOff>
      <xdr:row>1</xdr:row>
      <xdr:rowOff>1076325</xdr:rowOff>
    </xdr:to>
    <xdr:sp macro="" textlink="">
      <xdr:nvSpPr>
        <xdr:cNvPr id="6" name="Arrow: Up 5">
          <a:extLst>
            <a:ext uri="{FF2B5EF4-FFF2-40B4-BE49-F238E27FC236}">
              <a16:creationId xmlns:a16="http://schemas.microsoft.com/office/drawing/2014/main" id="{A0389E71-98B9-440B-A547-BF3226A3D1BC}"/>
            </a:ext>
          </a:extLst>
        </xdr:cNvPr>
        <xdr:cNvSpPr/>
      </xdr:nvSpPr>
      <xdr:spPr>
        <a:xfrm rot="10800000">
          <a:off x="1323975" y="17811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1343025</xdr:colOff>
      <xdr:row>1</xdr:row>
      <xdr:rowOff>285750</xdr:rowOff>
    </xdr:from>
    <xdr:to>
      <xdr:col>1</xdr:col>
      <xdr:colOff>1657350</xdr:colOff>
      <xdr:row>1</xdr:row>
      <xdr:rowOff>847725</xdr:rowOff>
    </xdr:to>
    <xdr:sp macro="" textlink="">
      <xdr:nvSpPr>
        <xdr:cNvPr id="8" name="Arrow: Up 7">
          <a:extLst>
            <a:ext uri="{FF2B5EF4-FFF2-40B4-BE49-F238E27FC236}">
              <a16:creationId xmlns:a16="http://schemas.microsoft.com/office/drawing/2014/main" id="{59810BE8-ABCC-4894-AD3B-0CC257658970}"/>
            </a:ext>
          </a:extLst>
        </xdr:cNvPr>
        <xdr:cNvSpPr/>
      </xdr:nvSpPr>
      <xdr:spPr>
        <a:xfrm>
          <a:off x="3390900" y="15525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tabSelected="1" workbookViewId="0">
      <pane xSplit="1" ySplit="1" topLeftCell="B2" activePane="bottomRight" state="frozen"/>
      <selection pane="topRight"/>
      <selection pane="bottomLeft"/>
      <selection pane="bottomRight" activeCell="E1" sqref="E1"/>
    </sheetView>
  </sheetViews>
  <sheetFormatPr defaultRowHeight="15" x14ac:dyDescent="0.25"/>
  <cols>
    <col min="1" max="1" width="13.140625" bestFit="1" customWidth="1"/>
    <col min="2" max="2" width="24.5703125" bestFit="1" customWidth="1"/>
    <col min="3" max="3" width="36.5703125" bestFit="1" customWidth="1"/>
    <col min="4" max="4" width="23.5703125" bestFit="1" customWidth="1"/>
    <col min="5" max="5" width="36.5703125" bestFit="1" customWidth="1"/>
    <col min="6" max="6" width="23.5703125" bestFit="1" customWidth="1"/>
    <col min="7" max="7" width="36.5703125" bestFit="1" customWidth="1"/>
    <col min="8" max="8" width="13" bestFit="1" customWidth="1"/>
    <col min="9" max="9" width="36.5703125" bestFit="1" customWidth="1"/>
    <col min="10" max="10" width="12.5703125" bestFit="1" customWidth="1"/>
    <col min="11" max="11" width="36.140625" bestFit="1" customWidth="1"/>
    <col min="12" max="12" width="39" customWidth="1"/>
  </cols>
  <sheetData>
    <row r="1" spans="1:10" ht="15.75" thickBot="1" x14ac:dyDescent="0.3">
      <c r="A1" s="20" t="s">
        <v>0</v>
      </c>
      <c r="B1" s="13" t="s">
        <v>1</v>
      </c>
      <c r="C1" s="14" t="s">
        <v>2</v>
      </c>
      <c r="D1" s="13" t="s">
        <v>3</v>
      </c>
      <c r="E1" s="14" t="s">
        <v>4</v>
      </c>
      <c r="F1" s="13" t="s">
        <v>5</v>
      </c>
      <c r="G1" s="21" t="s">
        <v>6</v>
      </c>
      <c r="H1" s="5"/>
      <c r="I1" s="5"/>
      <c r="J1" s="5"/>
    </row>
    <row r="2" spans="1:10" ht="45" x14ac:dyDescent="0.25">
      <c r="A2" s="22" t="s">
        <v>7</v>
      </c>
      <c r="B2" s="23" t="s">
        <v>8</v>
      </c>
      <c r="C2" s="24" t="s">
        <v>9</v>
      </c>
      <c r="D2" s="23" t="s">
        <v>10</v>
      </c>
      <c r="E2" s="24" t="s">
        <v>11</v>
      </c>
      <c r="F2" s="23" t="s">
        <v>12</v>
      </c>
      <c r="G2" s="25" t="s">
        <v>13</v>
      </c>
      <c r="H2" s="4"/>
      <c r="I2" s="2"/>
      <c r="J2" s="4"/>
    </row>
    <row r="3" spans="1:10" ht="45" x14ac:dyDescent="0.25">
      <c r="A3" s="11" t="s">
        <v>14</v>
      </c>
      <c r="B3" s="6" t="s">
        <v>483</v>
      </c>
      <c r="C3" s="24" t="s">
        <v>485</v>
      </c>
      <c r="D3" s="6" t="s">
        <v>16</v>
      </c>
      <c r="E3" s="15" t="s">
        <v>17</v>
      </c>
      <c r="F3" s="6" t="s">
        <v>18</v>
      </c>
      <c r="G3" s="7" t="s">
        <v>19</v>
      </c>
      <c r="H3" s="4"/>
      <c r="I3" s="2"/>
      <c r="J3" s="4"/>
    </row>
    <row r="4" spans="1:10" ht="30" x14ac:dyDescent="0.25">
      <c r="A4" s="11" t="s">
        <v>20</v>
      </c>
      <c r="B4" s="6" t="s">
        <v>21</v>
      </c>
      <c r="C4" s="15" t="s">
        <v>22</v>
      </c>
      <c r="D4" s="6" t="s">
        <v>23</v>
      </c>
      <c r="E4" s="15" t="s">
        <v>439</v>
      </c>
      <c r="F4" s="6" t="s">
        <v>24</v>
      </c>
      <c r="G4" s="7" t="s">
        <v>25</v>
      </c>
      <c r="H4" s="4"/>
      <c r="I4" s="3"/>
      <c r="J4" s="4"/>
    </row>
    <row r="5" spans="1:10" ht="30" x14ac:dyDescent="0.25">
      <c r="A5" s="11" t="s">
        <v>26</v>
      </c>
      <c r="B5" s="8" t="s">
        <v>27</v>
      </c>
      <c r="C5" s="15" t="s">
        <v>28</v>
      </c>
      <c r="D5" s="6" t="s">
        <v>29</v>
      </c>
      <c r="E5" s="15" t="s">
        <v>439</v>
      </c>
      <c r="F5" s="6" t="s">
        <v>30</v>
      </c>
      <c r="G5" s="7" t="s">
        <v>31</v>
      </c>
      <c r="H5" s="4"/>
      <c r="I5" s="2"/>
      <c r="J5" s="4"/>
    </row>
    <row r="6" spans="1:10" ht="45" x14ac:dyDescent="0.25">
      <c r="A6" s="11" t="s">
        <v>32</v>
      </c>
      <c r="B6" s="6" t="s">
        <v>33</v>
      </c>
      <c r="C6" s="15" t="s">
        <v>34</v>
      </c>
      <c r="D6" s="6" t="s">
        <v>35</v>
      </c>
      <c r="E6" s="15" t="s">
        <v>36</v>
      </c>
      <c r="F6" s="6" t="s">
        <v>37</v>
      </c>
      <c r="G6" s="9" t="s">
        <v>38</v>
      </c>
      <c r="H6" s="4"/>
      <c r="I6" s="3"/>
      <c r="J6" s="4"/>
    </row>
    <row r="7" spans="1:10" ht="45" x14ac:dyDescent="0.25">
      <c r="A7" s="11" t="s">
        <v>39</v>
      </c>
      <c r="B7" s="6" t="s">
        <v>40</v>
      </c>
      <c r="C7" s="15" t="s">
        <v>41</v>
      </c>
      <c r="D7" s="6" t="s">
        <v>42</v>
      </c>
      <c r="E7" s="18" t="s">
        <v>43</v>
      </c>
      <c r="F7" s="6" t="s">
        <v>44</v>
      </c>
      <c r="G7" s="7" t="s">
        <v>45</v>
      </c>
      <c r="H7" s="4"/>
      <c r="I7" s="3"/>
      <c r="J7" s="4"/>
    </row>
    <row r="8" spans="1:10" ht="30" x14ac:dyDescent="0.25">
      <c r="A8" s="11" t="s">
        <v>46</v>
      </c>
      <c r="B8" s="6" t="s">
        <v>47</v>
      </c>
      <c r="C8" s="15" t="s">
        <v>48</v>
      </c>
      <c r="D8" s="6" t="s">
        <v>440</v>
      </c>
      <c r="E8" s="15" t="s">
        <v>439</v>
      </c>
      <c r="F8" s="6" t="s">
        <v>49</v>
      </c>
      <c r="G8" s="7" t="s">
        <v>50</v>
      </c>
      <c r="H8" s="4"/>
      <c r="I8" s="2"/>
      <c r="J8" s="4"/>
    </row>
    <row r="9" spans="1:10" ht="30" x14ac:dyDescent="0.25">
      <c r="A9" s="11" t="s">
        <v>51</v>
      </c>
      <c r="B9" s="6" t="s">
        <v>52</v>
      </c>
      <c r="C9" s="15" t="s">
        <v>53</v>
      </c>
      <c r="D9" s="6" t="s">
        <v>54</v>
      </c>
      <c r="E9" s="15" t="s">
        <v>439</v>
      </c>
      <c r="F9" s="6" t="s">
        <v>55</v>
      </c>
      <c r="G9" s="7" t="s">
        <v>491</v>
      </c>
      <c r="H9" s="4"/>
      <c r="I9" s="3"/>
      <c r="J9" s="4"/>
    </row>
    <row r="10" spans="1:10" ht="45" x14ac:dyDescent="0.25">
      <c r="A10" s="11" t="s">
        <v>56</v>
      </c>
      <c r="B10" s="6" t="s">
        <v>57</v>
      </c>
      <c r="C10" s="15" t="s">
        <v>58</v>
      </c>
      <c r="D10" s="6" t="s">
        <v>445</v>
      </c>
      <c r="E10" s="15" t="s">
        <v>453</v>
      </c>
      <c r="F10" s="6" t="s">
        <v>59</v>
      </c>
      <c r="G10" s="7" t="s">
        <v>60</v>
      </c>
      <c r="H10" s="4"/>
      <c r="I10" s="2"/>
      <c r="J10" s="4"/>
    </row>
    <row r="11" spans="1:10" ht="45" x14ac:dyDescent="0.25">
      <c r="A11" s="11" t="s">
        <v>61</v>
      </c>
      <c r="B11" s="6" t="s">
        <v>62</v>
      </c>
      <c r="C11" s="15" t="s">
        <v>63</v>
      </c>
      <c r="D11" s="6" t="s">
        <v>64</v>
      </c>
      <c r="E11" s="15" t="s">
        <v>454</v>
      </c>
      <c r="F11" s="6" t="s">
        <v>65</v>
      </c>
      <c r="G11" s="7" t="s">
        <v>66</v>
      </c>
      <c r="H11" s="4"/>
      <c r="I11" s="2"/>
      <c r="J11" s="4"/>
    </row>
    <row r="12" spans="1:10" ht="45" x14ac:dyDescent="0.25">
      <c r="A12" s="11" t="s">
        <v>67</v>
      </c>
      <c r="B12" s="6" t="s">
        <v>68</v>
      </c>
      <c r="C12" s="15" t="s">
        <v>69</v>
      </c>
      <c r="D12" s="6" t="s">
        <v>70</v>
      </c>
      <c r="E12" s="15" t="s">
        <v>71</v>
      </c>
      <c r="F12" s="6" t="s">
        <v>72</v>
      </c>
      <c r="G12" s="7" t="s">
        <v>73</v>
      </c>
      <c r="H12" s="4"/>
      <c r="I12" s="2"/>
      <c r="J12" s="4"/>
    </row>
    <row r="13" spans="1:10" ht="45" x14ac:dyDescent="0.25">
      <c r="A13" s="11" t="s">
        <v>74</v>
      </c>
      <c r="B13" s="6" t="s">
        <v>498</v>
      </c>
      <c r="C13" s="15" t="s">
        <v>484</v>
      </c>
      <c r="D13" s="6" t="s">
        <v>76</v>
      </c>
      <c r="E13" s="15" t="s">
        <v>77</v>
      </c>
      <c r="F13" s="6" t="s">
        <v>78</v>
      </c>
      <c r="G13" s="7" t="s">
        <v>73</v>
      </c>
      <c r="H13" s="4"/>
      <c r="I13" s="2"/>
      <c r="J13" s="4"/>
    </row>
    <row r="14" spans="1:10" ht="45" x14ac:dyDescent="0.25">
      <c r="A14" s="11" t="s">
        <v>79</v>
      </c>
      <c r="B14" s="6" t="s">
        <v>80</v>
      </c>
      <c r="C14" s="15" t="s">
        <v>480</v>
      </c>
      <c r="D14" s="6" t="s">
        <v>81</v>
      </c>
      <c r="E14" s="15" t="s">
        <v>82</v>
      </c>
      <c r="F14" s="6" t="s">
        <v>496</v>
      </c>
      <c r="G14" s="7" t="s">
        <v>83</v>
      </c>
      <c r="H14" s="4"/>
      <c r="I14" s="3"/>
      <c r="J14" s="4"/>
    </row>
    <row r="15" spans="1:10" ht="45" x14ac:dyDescent="0.25">
      <c r="A15" s="11" t="s">
        <v>84</v>
      </c>
      <c r="B15" s="6" t="s">
        <v>85</v>
      </c>
      <c r="C15" s="15" t="s">
        <v>86</v>
      </c>
      <c r="D15" s="6" t="s">
        <v>87</v>
      </c>
      <c r="E15" s="15" t="s">
        <v>88</v>
      </c>
      <c r="F15" s="6" t="s">
        <v>89</v>
      </c>
      <c r="G15" s="7" t="s">
        <v>90</v>
      </c>
      <c r="H15" s="4"/>
      <c r="I15" s="3"/>
      <c r="J15" s="4"/>
    </row>
    <row r="16" spans="1:10" ht="45" x14ac:dyDescent="0.25">
      <c r="A16" s="11" t="s">
        <v>91</v>
      </c>
      <c r="B16" s="6" t="s">
        <v>92</v>
      </c>
      <c r="C16" s="15" t="s">
        <v>93</v>
      </c>
      <c r="D16" s="6" t="s">
        <v>94</v>
      </c>
      <c r="E16" s="15" t="s">
        <v>95</v>
      </c>
      <c r="F16" s="6" t="s">
        <v>96</v>
      </c>
      <c r="G16" s="7" t="s">
        <v>97</v>
      </c>
      <c r="H16" s="4"/>
      <c r="I16" s="2"/>
      <c r="J16" s="4"/>
    </row>
    <row r="17" spans="1:10" ht="45" x14ac:dyDescent="0.25">
      <c r="A17" s="11" t="s">
        <v>98</v>
      </c>
      <c r="B17" s="6" t="s">
        <v>99</v>
      </c>
      <c r="C17" s="15" t="s">
        <v>100</v>
      </c>
      <c r="D17" s="6" t="s">
        <v>101</v>
      </c>
      <c r="E17" s="15" t="s">
        <v>102</v>
      </c>
      <c r="F17" s="6" t="s">
        <v>103</v>
      </c>
      <c r="G17" s="7" t="s">
        <v>97</v>
      </c>
      <c r="H17" s="4"/>
      <c r="I17" s="2"/>
      <c r="J17" s="4"/>
    </row>
    <row r="18" spans="1:10" ht="60" x14ac:dyDescent="0.25">
      <c r="A18" s="11" t="s">
        <v>104</v>
      </c>
      <c r="B18" s="6" t="s">
        <v>495</v>
      </c>
      <c r="C18" s="15" t="s">
        <v>106</v>
      </c>
      <c r="D18" s="6" t="s">
        <v>107</v>
      </c>
      <c r="E18" s="15" t="s">
        <v>455</v>
      </c>
      <c r="F18" s="6" t="s">
        <v>108</v>
      </c>
      <c r="G18" s="7" t="s">
        <v>497</v>
      </c>
      <c r="H18" s="4"/>
      <c r="I18" s="2"/>
      <c r="J18" s="4"/>
    </row>
    <row r="19" spans="1:10" ht="45" x14ac:dyDescent="0.25">
      <c r="A19" s="11" t="s">
        <v>109</v>
      </c>
      <c r="B19" s="6" t="s">
        <v>110</v>
      </c>
      <c r="C19" s="15" t="s">
        <v>111</v>
      </c>
      <c r="D19" s="6" t="s">
        <v>112</v>
      </c>
      <c r="E19" s="15" t="s">
        <v>456</v>
      </c>
      <c r="F19" s="23" t="s">
        <v>518</v>
      </c>
      <c r="G19" s="25" t="s">
        <v>516</v>
      </c>
      <c r="H19" s="4"/>
      <c r="I19" s="2"/>
      <c r="J19" s="4"/>
    </row>
    <row r="20" spans="1:10" ht="45" x14ac:dyDescent="0.25">
      <c r="A20" s="11" t="s">
        <v>113</v>
      </c>
      <c r="B20" s="6" t="s">
        <v>114</v>
      </c>
      <c r="C20" s="15" t="s">
        <v>115</v>
      </c>
      <c r="D20" s="6" t="s">
        <v>116</v>
      </c>
      <c r="E20" s="15" t="s">
        <v>117</v>
      </c>
      <c r="F20" s="6" t="s">
        <v>519</v>
      </c>
      <c r="G20" s="7" t="s">
        <v>517</v>
      </c>
      <c r="H20" s="4"/>
      <c r="I20" s="3"/>
      <c r="J20" s="4"/>
    </row>
    <row r="21" spans="1:10" ht="45" x14ac:dyDescent="0.25">
      <c r="A21" s="11" t="s">
        <v>118</v>
      </c>
      <c r="B21" s="6" t="s">
        <v>119</v>
      </c>
      <c r="C21" s="15" t="s">
        <v>120</v>
      </c>
      <c r="D21" s="6" t="s">
        <v>121</v>
      </c>
      <c r="E21" s="15" t="s">
        <v>122</v>
      </c>
      <c r="F21" s="6"/>
      <c r="G21" s="7"/>
      <c r="H21" s="4"/>
      <c r="I21" s="3"/>
      <c r="J21" s="4"/>
    </row>
    <row r="22" spans="1:10" ht="45" x14ac:dyDescent="0.25">
      <c r="A22" s="11" t="s">
        <v>123</v>
      </c>
      <c r="B22" s="6" t="s">
        <v>124</v>
      </c>
      <c r="C22" s="15" t="s">
        <v>125</v>
      </c>
      <c r="D22" s="6" t="s">
        <v>126</v>
      </c>
      <c r="E22" s="15" t="s">
        <v>477</v>
      </c>
      <c r="F22" s="6"/>
      <c r="G22" s="7"/>
      <c r="H22" s="4"/>
      <c r="I22" s="3"/>
      <c r="J22" s="4"/>
    </row>
    <row r="23" spans="1:10" ht="45" x14ac:dyDescent="0.25">
      <c r="A23" s="11" t="s">
        <v>127</v>
      </c>
      <c r="B23" s="6" t="s">
        <v>128</v>
      </c>
      <c r="C23" s="15" t="s">
        <v>129</v>
      </c>
      <c r="D23" s="6" t="s">
        <v>130</v>
      </c>
      <c r="E23" s="15" t="s">
        <v>131</v>
      </c>
      <c r="F23" s="6"/>
      <c r="G23" s="9"/>
      <c r="H23" s="4"/>
      <c r="I23" s="3"/>
      <c r="J23" s="4"/>
    </row>
    <row r="24" spans="1:10" ht="45" x14ac:dyDescent="0.25">
      <c r="A24" s="11" t="s">
        <v>132</v>
      </c>
      <c r="B24" s="6" t="s">
        <v>133</v>
      </c>
      <c r="C24" s="15" t="s">
        <v>134</v>
      </c>
      <c r="D24" s="6" t="s">
        <v>135</v>
      </c>
      <c r="E24" s="15" t="s">
        <v>136</v>
      </c>
      <c r="F24" s="6"/>
      <c r="G24" s="7"/>
      <c r="H24" s="4"/>
      <c r="I24" s="3"/>
      <c r="J24" s="4"/>
    </row>
    <row r="25" spans="1:10" ht="45" x14ac:dyDescent="0.25">
      <c r="A25" s="11" t="s">
        <v>137</v>
      </c>
      <c r="B25" s="6" t="s">
        <v>447</v>
      </c>
      <c r="C25" s="16" t="s">
        <v>457</v>
      </c>
      <c r="D25" s="6" t="s">
        <v>139</v>
      </c>
      <c r="E25" s="15" t="s">
        <v>140</v>
      </c>
      <c r="F25" s="6"/>
      <c r="G25" s="7"/>
      <c r="H25" s="4"/>
      <c r="I25" s="3"/>
      <c r="J25" s="4"/>
    </row>
    <row r="26" spans="1:10" ht="45" x14ac:dyDescent="0.25">
      <c r="A26" s="11" t="s">
        <v>141</v>
      </c>
      <c r="B26" s="6" t="s">
        <v>446</v>
      </c>
      <c r="C26" s="15" t="s">
        <v>458</v>
      </c>
      <c r="D26" s="6" t="s">
        <v>142</v>
      </c>
      <c r="E26" s="15" t="s">
        <v>522</v>
      </c>
      <c r="F26" s="6"/>
      <c r="G26" s="7"/>
      <c r="H26" s="4"/>
      <c r="I26" s="3"/>
      <c r="J26" s="4"/>
    </row>
    <row r="27" spans="1:10" ht="45" x14ac:dyDescent="0.25">
      <c r="A27" s="11" t="s">
        <v>143</v>
      </c>
      <c r="B27" s="6" t="s">
        <v>144</v>
      </c>
      <c r="C27" s="15" t="s">
        <v>145</v>
      </c>
      <c r="D27" s="6" t="s">
        <v>146</v>
      </c>
      <c r="E27" s="15" t="s">
        <v>523</v>
      </c>
      <c r="F27" s="6"/>
      <c r="G27" s="7"/>
      <c r="H27" s="4"/>
      <c r="I27" s="3"/>
      <c r="J27" s="4"/>
    </row>
    <row r="28" spans="1:10" ht="45" x14ac:dyDescent="0.25">
      <c r="A28" s="11" t="s">
        <v>147</v>
      </c>
      <c r="B28" s="6" t="s">
        <v>148</v>
      </c>
      <c r="C28" s="16" t="s">
        <v>149</v>
      </c>
      <c r="D28" s="6" t="s">
        <v>150</v>
      </c>
      <c r="E28" s="15" t="s">
        <v>520</v>
      </c>
      <c r="F28" s="6"/>
      <c r="G28" s="7"/>
      <c r="H28" s="4"/>
      <c r="I28" s="3"/>
      <c r="J28" s="4"/>
    </row>
    <row r="29" spans="1:10" ht="45" x14ac:dyDescent="0.25">
      <c r="A29" s="11" t="s">
        <v>151</v>
      </c>
      <c r="B29" s="6" t="s">
        <v>152</v>
      </c>
      <c r="C29" s="16" t="s">
        <v>153</v>
      </c>
      <c r="D29" s="6" t="s">
        <v>154</v>
      </c>
      <c r="E29" s="15" t="s">
        <v>521</v>
      </c>
      <c r="F29" s="6"/>
      <c r="G29" s="7"/>
      <c r="H29" s="4"/>
      <c r="I29" s="3"/>
      <c r="J29" s="4"/>
    </row>
    <row r="30" spans="1:10" ht="45" x14ac:dyDescent="0.25">
      <c r="A30" s="11" t="s">
        <v>155</v>
      </c>
      <c r="B30" s="6" t="s">
        <v>156</v>
      </c>
      <c r="C30" s="15" t="s">
        <v>157</v>
      </c>
      <c r="D30" s="6" t="s">
        <v>158</v>
      </c>
      <c r="E30" s="15" t="s">
        <v>159</v>
      </c>
      <c r="F30" s="6"/>
      <c r="G30" s="7"/>
      <c r="H30" s="4"/>
      <c r="I30" s="3"/>
      <c r="J30" s="4"/>
    </row>
    <row r="31" spans="1:10" ht="45" x14ac:dyDescent="0.25">
      <c r="A31" s="11" t="s">
        <v>160</v>
      </c>
      <c r="B31" s="6" t="s">
        <v>161</v>
      </c>
      <c r="C31" s="15" t="s">
        <v>162</v>
      </c>
      <c r="D31" s="6" t="s">
        <v>163</v>
      </c>
      <c r="E31" s="15" t="s">
        <v>164</v>
      </c>
      <c r="F31" s="6"/>
      <c r="G31" s="7"/>
      <c r="H31" s="4"/>
      <c r="I31" s="3"/>
      <c r="J31" s="4"/>
    </row>
    <row r="32" spans="1:10" ht="30" x14ac:dyDescent="0.25">
      <c r="A32" s="11" t="s">
        <v>165</v>
      </c>
      <c r="B32" s="6" t="s">
        <v>166</v>
      </c>
      <c r="C32" s="15" t="s">
        <v>167</v>
      </c>
      <c r="D32" s="8" t="s">
        <v>514</v>
      </c>
      <c r="E32" s="15" t="s">
        <v>512</v>
      </c>
      <c r="F32" s="6"/>
      <c r="G32" s="7"/>
      <c r="H32" s="4"/>
      <c r="I32" s="3"/>
      <c r="J32" s="4"/>
    </row>
    <row r="33" spans="1:10" ht="45" x14ac:dyDescent="0.25">
      <c r="A33" s="11" t="s">
        <v>168</v>
      </c>
      <c r="B33" s="6" t="s">
        <v>169</v>
      </c>
      <c r="C33" s="15" t="s">
        <v>170</v>
      </c>
      <c r="D33" s="6" t="s">
        <v>515</v>
      </c>
      <c r="E33" s="15" t="s">
        <v>513</v>
      </c>
      <c r="F33" s="6"/>
      <c r="G33" s="7"/>
      <c r="H33" s="4"/>
      <c r="I33" s="3"/>
      <c r="J33" s="4"/>
    </row>
    <row r="34" spans="1:10" ht="30" x14ac:dyDescent="0.25">
      <c r="A34" s="11" t="s">
        <v>171</v>
      </c>
      <c r="B34" s="6" t="s">
        <v>172</v>
      </c>
      <c r="C34" s="15" t="s">
        <v>493</v>
      </c>
      <c r="D34" s="6"/>
      <c r="E34" s="16"/>
      <c r="F34" s="6"/>
      <c r="G34" s="7"/>
      <c r="H34" s="4"/>
      <c r="I34" s="3"/>
      <c r="J34" s="4"/>
    </row>
    <row r="35" spans="1:10" ht="30" x14ac:dyDescent="0.25">
      <c r="A35" s="11" t="s">
        <v>173</v>
      </c>
      <c r="B35" s="6" t="s">
        <v>174</v>
      </c>
      <c r="C35" s="15" t="s">
        <v>175</v>
      </c>
      <c r="D35" s="6"/>
      <c r="E35" s="16"/>
      <c r="F35" s="6"/>
      <c r="G35" s="7"/>
      <c r="H35" s="4"/>
      <c r="I35" s="3"/>
      <c r="J35" s="4"/>
    </row>
    <row r="36" spans="1:10" ht="30" x14ac:dyDescent="0.25">
      <c r="A36" s="11" t="s">
        <v>176</v>
      </c>
      <c r="B36" s="6" t="s">
        <v>481</v>
      </c>
      <c r="C36" s="15" t="s">
        <v>482</v>
      </c>
      <c r="D36" s="6"/>
      <c r="E36" s="16"/>
      <c r="F36" s="23"/>
      <c r="G36" s="25"/>
      <c r="H36" s="4"/>
      <c r="I36" s="3"/>
      <c r="J36" s="4"/>
    </row>
    <row r="37" spans="1:10" ht="30" x14ac:dyDescent="0.25">
      <c r="A37" s="11" t="s">
        <v>177</v>
      </c>
      <c r="B37" s="6" t="s">
        <v>499</v>
      </c>
      <c r="C37" s="15" t="s">
        <v>494</v>
      </c>
      <c r="D37" s="6"/>
      <c r="E37" s="16"/>
      <c r="F37" s="6"/>
      <c r="G37" s="7"/>
      <c r="H37" s="4"/>
      <c r="I37" s="3"/>
      <c r="J37" s="4"/>
    </row>
    <row r="38" spans="1:10" ht="30" x14ac:dyDescent="0.25">
      <c r="A38" s="11" t="s">
        <v>178</v>
      </c>
      <c r="B38" s="6" t="s">
        <v>511</v>
      </c>
      <c r="C38" s="15" t="s">
        <v>508</v>
      </c>
      <c r="D38" s="6"/>
      <c r="E38" s="16"/>
      <c r="F38" s="6"/>
      <c r="G38" s="7"/>
      <c r="H38" s="4"/>
      <c r="I38" s="3"/>
      <c r="J38" s="4"/>
    </row>
    <row r="39" spans="1:10" ht="30" x14ac:dyDescent="0.25">
      <c r="A39" s="11" t="s">
        <v>179</v>
      </c>
      <c r="B39" s="6" t="s">
        <v>510</v>
      </c>
      <c r="C39" s="15" t="s">
        <v>509</v>
      </c>
      <c r="D39" s="6"/>
      <c r="E39" s="16"/>
      <c r="F39" s="6"/>
      <c r="G39" s="7"/>
      <c r="H39" s="4"/>
      <c r="I39" s="3"/>
      <c r="J39" s="4"/>
    </row>
    <row r="40" spans="1:10" x14ac:dyDescent="0.25">
      <c r="A40" s="11" t="s">
        <v>180</v>
      </c>
      <c r="B40" s="6"/>
      <c r="C40" s="16"/>
      <c r="D40" s="6"/>
      <c r="E40" s="16"/>
      <c r="F40" s="6"/>
      <c r="G40" s="9"/>
      <c r="H40" s="4"/>
      <c r="I40" s="3"/>
      <c r="J40" s="4"/>
    </row>
    <row r="41" spans="1:10" x14ac:dyDescent="0.25">
      <c r="A41" s="11" t="s">
        <v>181</v>
      </c>
      <c r="B41" s="6"/>
      <c r="C41" s="16"/>
      <c r="D41" s="6"/>
      <c r="E41" s="16"/>
      <c r="F41" s="6"/>
      <c r="G41" s="7"/>
      <c r="H41" s="4"/>
      <c r="I41" s="3"/>
      <c r="J41" s="4"/>
    </row>
    <row r="42" spans="1:10" x14ac:dyDescent="0.25">
      <c r="A42" s="11" t="s">
        <v>182</v>
      </c>
      <c r="B42" s="6"/>
      <c r="C42" s="16"/>
      <c r="D42" s="6"/>
      <c r="E42" s="16"/>
      <c r="F42" s="6"/>
      <c r="G42" s="7"/>
      <c r="H42" s="4"/>
      <c r="I42" s="3"/>
      <c r="J42" s="4"/>
    </row>
    <row r="43" spans="1:10" x14ac:dyDescent="0.25">
      <c r="A43" s="11" t="s">
        <v>183</v>
      </c>
      <c r="B43" s="6"/>
      <c r="C43" s="16"/>
      <c r="D43" s="6"/>
      <c r="E43" s="16"/>
      <c r="F43" s="6"/>
      <c r="G43" s="7"/>
      <c r="H43" s="4"/>
      <c r="I43" s="3"/>
      <c r="J43" s="4"/>
    </row>
    <row r="44" spans="1:10" x14ac:dyDescent="0.25">
      <c r="A44" s="11" t="s">
        <v>184</v>
      </c>
      <c r="B44" s="6"/>
      <c r="C44" s="16"/>
      <c r="D44" s="6"/>
      <c r="E44" s="16"/>
      <c r="F44" s="6"/>
      <c r="G44" s="7"/>
      <c r="H44" s="4"/>
      <c r="I44" s="3"/>
      <c r="J44" s="4"/>
    </row>
    <row r="45" spans="1:10" x14ac:dyDescent="0.25">
      <c r="A45" s="11" t="s">
        <v>185</v>
      </c>
      <c r="B45" s="6"/>
      <c r="C45" s="16"/>
      <c r="D45" s="6"/>
      <c r="E45" s="16"/>
      <c r="F45" s="6"/>
      <c r="G45" s="7"/>
      <c r="H45" s="4"/>
      <c r="I45" s="3"/>
      <c r="J45" s="4"/>
    </row>
    <row r="46" spans="1:10" x14ac:dyDescent="0.25">
      <c r="A46" s="11" t="s">
        <v>186</v>
      </c>
      <c r="B46" s="6"/>
      <c r="C46" s="16"/>
      <c r="D46" s="6"/>
      <c r="E46" s="16"/>
      <c r="F46" s="6"/>
      <c r="G46" s="7"/>
      <c r="H46" s="4"/>
      <c r="I46" s="3"/>
      <c r="J46" s="4"/>
    </row>
    <row r="47" spans="1:10" x14ac:dyDescent="0.25">
      <c r="A47" s="11" t="s">
        <v>187</v>
      </c>
      <c r="B47" s="6"/>
      <c r="C47" s="16"/>
      <c r="D47" s="6"/>
      <c r="E47" s="16"/>
      <c r="F47" s="6"/>
      <c r="G47" s="7"/>
      <c r="H47" s="4"/>
      <c r="I47" s="3"/>
      <c r="J47" s="4"/>
    </row>
    <row r="48" spans="1:10" x14ac:dyDescent="0.25">
      <c r="A48" s="11" t="s">
        <v>188</v>
      </c>
      <c r="B48" s="6"/>
      <c r="C48" s="16"/>
      <c r="D48" s="6"/>
      <c r="E48" s="16"/>
      <c r="F48" s="6"/>
      <c r="G48" s="7"/>
      <c r="H48" s="4"/>
      <c r="I48" s="3"/>
      <c r="J48" s="4"/>
    </row>
    <row r="49" spans="1:10" x14ac:dyDescent="0.25">
      <c r="A49" s="11" t="s">
        <v>189</v>
      </c>
      <c r="B49" s="6"/>
      <c r="C49" s="16"/>
      <c r="D49" s="6"/>
      <c r="E49" s="16"/>
      <c r="F49" s="6"/>
      <c r="G49" s="7"/>
      <c r="H49" s="4"/>
      <c r="I49" s="3"/>
      <c r="J49" s="4"/>
    </row>
    <row r="50" spans="1:10" x14ac:dyDescent="0.25">
      <c r="A50" s="11" t="s">
        <v>190</v>
      </c>
      <c r="B50" s="6"/>
      <c r="C50" s="16"/>
      <c r="D50" s="6"/>
      <c r="E50" s="16"/>
      <c r="F50" s="6"/>
      <c r="G50" s="7"/>
      <c r="H50" s="4"/>
      <c r="I50" s="3"/>
      <c r="J50" s="4"/>
    </row>
    <row r="51" spans="1:10" x14ac:dyDescent="0.25">
      <c r="A51" s="11" t="s">
        <v>191</v>
      </c>
      <c r="B51" s="6"/>
      <c r="C51" s="16"/>
      <c r="D51" s="6"/>
      <c r="E51" s="16"/>
      <c r="F51" s="6"/>
      <c r="G51" s="7"/>
      <c r="H51" s="4"/>
      <c r="I51" s="3"/>
      <c r="J51" s="4"/>
    </row>
    <row r="52" spans="1:10" x14ac:dyDescent="0.25">
      <c r="A52" s="11" t="s">
        <v>192</v>
      </c>
      <c r="B52" s="6"/>
      <c r="C52" s="16"/>
      <c r="D52" s="6"/>
      <c r="E52" s="16"/>
      <c r="F52" s="6"/>
      <c r="G52" s="7"/>
      <c r="H52" s="4"/>
      <c r="I52" s="3"/>
      <c r="J52" s="4"/>
    </row>
    <row r="53" spans="1:10" ht="15.75" thickBot="1" x14ac:dyDescent="0.3">
      <c r="A53" s="12" t="s">
        <v>193</v>
      </c>
      <c r="B53" s="10"/>
      <c r="C53" s="17"/>
      <c r="D53" s="10"/>
      <c r="E53" s="17"/>
      <c r="F53" s="10"/>
      <c r="G53" s="19"/>
      <c r="H53" s="4"/>
      <c r="I53" s="3"/>
      <c r="J53" s="4"/>
    </row>
  </sheetData>
  <pageMargins left="0.25" right="0.25" top="0.75" bottom="0.75" header="0.3" footer="0.3"/>
  <pageSetup scale="0" firstPageNumber="0" fitToWidth="0" orientation="portrait" blackAndWhite="1"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zoomScaleNormal="60" zoomScaleSheetLayoutView="100" workbookViewId="0">
      <pane ySplit="1" topLeftCell="A2" activePane="bottomLeft" state="frozen"/>
      <selection activeCell="E1" sqref="E1"/>
      <selection pane="bottomLeft" activeCell="B18" sqref="B18"/>
    </sheetView>
  </sheetViews>
  <sheetFormatPr defaultRowHeight="15" x14ac:dyDescent="0.25"/>
  <cols>
    <col min="1" max="1" width="13.7109375" bestFit="1" customWidth="1"/>
    <col min="2" max="2" width="29.85546875" customWidth="1"/>
    <col min="3" max="3" width="12.140625" bestFit="1" customWidth="1"/>
    <col min="4" max="4" width="25.5703125" style="1" customWidth="1"/>
    <col min="5" max="5" width="37.28515625" style="1" customWidth="1"/>
    <col min="6" max="6" width="21.85546875" style="1" customWidth="1"/>
    <col min="7" max="7" width="39.5703125" style="1" customWidth="1"/>
    <col min="8" max="8" width="34.140625" style="1" customWidth="1"/>
    <col min="9" max="9" width="40.140625" customWidth="1"/>
  </cols>
  <sheetData>
    <row r="1" spans="1:9" ht="15.75" thickBot="1" x14ac:dyDescent="0.3">
      <c r="A1" s="51" t="s">
        <v>194</v>
      </c>
      <c r="B1" s="52" t="s">
        <v>195</v>
      </c>
      <c r="C1" s="53" t="s">
        <v>196</v>
      </c>
      <c r="D1" s="54" t="s">
        <v>197</v>
      </c>
      <c r="E1" s="54" t="s">
        <v>198</v>
      </c>
      <c r="F1" s="54" t="s">
        <v>199</v>
      </c>
      <c r="G1" s="54" t="s">
        <v>450</v>
      </c>
      <c r="H1" s="54" t="s">
        <v>200</v>
      </c>
      <c r="I1" s="55" t="s">
        <v>201</v>
      </c>
    </row>
    <row r="2" spans="1:9" ht="60" x14ac:dyDescent="0.25">
      <c r="A2" s="47" t="s">
        <v>202</v>
      </c>
      <c r="B2" s="48" t="s">
        <v>504</v>
      </c>
      <c r="C2" s="49" t="s">
        <v>203</v>
      </c>
      <c r="D2" s="50" t="s">
        <v>204</v>
      </c>
      <c r="E2" s="50" t="s">
        <v>205</v>
      </c>
      <c r="F2" s="50" t="s">
        <v>206</v>
      </c>
      <c r="G2" s="50" t="s">
        <v>207</v>
      </c>
      <c r="H2" s="50" t="s">
        <v>208</v>
      </c>
      <c r="I2" s="50" t="s">
        <v>209</v>
      </c>
    </row>
    <row r="3" spans="1:9" ht="60" x14ac:dyDescent="0.25">
      <c r="A3" s="37" t="s">
        <v>452</v>
      </c>
      <c r="B3" s="35" t="s">
        <v>451</v>
      </c>
      <c r="C3" s="38" t="s">
        <v>203</v>
      </c>
      <c r="D3" s="42" t="s">
        <v>362</v>
      </c>
      <c r="E3" s="42" t="s">
        <v>210</v>
      </c>
      <c r="F3" s="42" t="s">
        <v>211</v>
      </c>
      <c r="G3" s="42" t="s">
        <v>212</v>
      </c>
      <c r="H3" s="42" t="s">
        <v>325</v>
      </c>
      <c r="I3" s="42" t="s">
        <v>213</v>
      </c>
    </row>
    <row r="4" spans="1:9" ht="105" x14ac:dyDescent="0.25">
      <c r="A4" s="37" t="s">
        <v>214</v>
      </c>
      <c r="B4" s="36" t="s">
        <v>215</v>
      </c>
      <c r="C4" s="38" t="s">
        <v>203</v>
      </c>
      <c r="D4" s="42" t="s">
        <v>216</v>
      </c>
      <c r="E4" s="42" t="s">
        <v>217</v>
      </c>
      <c r="F4" s="42" t="s">
        <v>486</v>
      </c>
      <c r="G4" s="42" t="s">
        <v>218</v>
      </c>
      <c r="H4" s="42" t="s">
        <v>219</v>
      </c>
      <c r="I4" s="45"/>
    </row>
    <row r="5" spans="1:9" ht="75" x14ac:dyDescent="0.25">
      <c r="A5" s="37" t="s">
        <v>220</v>
      </c>
      <c r="B5" s="35" t="s">
        <v>331</v>
      </c>
      <c r="C5" s="38" t="s">
        <v>203</v>
      </c>
      <c r="D5" s="42" t="s">
        <v>221</v>
      </c>
      <c r="E5" s="42" t="s">
        <v>222</v>
      </c>
      <c r="F5" s="42" t="s">
        <v>223</v>
      </c>
      <c r="G5" s="42" t="s">
        <v>448</v>
      </c>
      <c r="H5" s="42" t="s">
        <v>324</v>
      </c>
      <c r="I5" s="45"/>
    </row>
    <row r="6" spans="1:9" ht="135" x14ac:dyDescent="0.25">
      <c r="A6" s="37" t="s">
        <v>224</v>
      </c>
      <c r="B6" s="36" t="s">
        <v>225</v>
      </c>
      <c r="C6" s="38" t="s">
        <v>203</v>
      </c>
      <c r="D6" s="42" t="s">
        <v>226</v>
      </c>
      <c r="E6" s="42" t="s">
        <v>227</v>
      </c>
      <c r="F6" s="42" t="s">
        <v>228</v>
      </c>
      <c r="G6" s="42" t="s">
        <v>449</v>
      </c>
      <c r="H6" s="42" t="s">
        <v>501</v>
      </c>
      <c r="I6" s="45"/>
    </row>
    <row r="7" spans="1:9" ht="60" x14ac:dyDescent="0.25">
      <c r="A7" s="37" t="s">
        <v>229</v>
      </c>
      <c r="B7" s="36" t="s">
        <v>230</v>
      </c>
      <c r="C7" s="38" t="s">
        <v>203</v>
      </c>
      <c r="D7" s="42" t="s">
        <v>492</v>
      </c>
      <c r="E7" s="42" t="s">
        <v>329</v>
      </c>
      <c r="F7" s="44" t="s">
        <v>364</v>
      </c>
      <c r="G7" s="42" t="s">
        <v>231</v>
      </c>
      <c r="H7" s="42"/>
      <c r="I7" s="45"/>
    </row>
    <row r="8" spans="1:9" ht="45" x14ac:dyDescent="0.25">
      <c r="A8" s="37" t="s">
        <v>232</v>
      </c>
      <c r="B8" s="35" t="s">
        <v>233</v>
      </c>
      <c r="C8" s="38" t="s">
        <v>203</v>
      </c>
      <c r="D8" s="42" t="s">
        <v>234</v>
      </c>
      <c r="E8" s="42" t="s">
        <v>330</v>
      </c>
      <c r="F8" s="42" t="s">
        <v>235</v>
      </c>
      <c r="G8" s="42"/>
      <c r="H8" s="42"/>
      <c r="I8" s="45"/>
    </row>
    <row r="9" spans="1:9" ht="150" x14ac:dyDescent="0.25">
      <c r="A9" s="37" t="s">
        <v>236</v>
      </c>
      <c r="B9" s="35" t="s">
        <v>237</v>
      </c>
      <c r="C9" s="38" t="s">
        <v>203</v>
      </c>
      <c r="D9" s="42" t="s">
        <v>238</v>
      </c>
      <c r="E9" s="42" t="s">
        <v>239</v>
      </c>
      <c r="F9" s="42" t="s">
        <v>240</v>
      </c>
      <c r="G9" s="42"/>
      <c r="H9" s="42"/>
      <c r="I9" s="45"/>
    </row>
    <row r="10" spans="1:9" ht="30" x14ac:dyDescent="0.25">
      <c r="A10" s="37" t="s">
        <v>241</v>
      </c>
      <c r="B10" s="35" t="s">
        <v>242</v>
      </c>
      <c r="C10" s="38" t="s">
        <v>203</v>
      </c>
      <c r="D10" s="42" t="s">
        <v>502</v>
      </c>
      <c r="E10" s="42" t="s">
        <v>243</v>
      </c>
      <c r="F10" s="42"/>
      <c r="G10" s="42"/>
      <c r="H10" s="42"/>
      <c r="I10" s="45"/>
    </row>
    <row r="11" spans="1:9" ht="90" x14ac:dyDescent="0.25">
      <c r="A11" s="37" t="s">
        <v>244</v>
      </c>
      <c r="B11" s="35" t="s">
        <v>500</v>
      </c>
      <c r="C11" s="38" t="s">
        <v>203</v>
      </c>
      <c r="D11" s="42"/>
      <c r="E11" s="42" t="s">
        <v>503</v>
      </c>
      <c r="F11" s="42"/>
      <c r="G11" s="42"/>
      <c r="H11" s="42"/>
      <c r="I11" s="45"/>
    </row>
    <row r="12" spans="1:9" ht="45" x14ac:dyDescent="0.25">
      <c r="A12" s="37" t="s">
        <v>245</v>
      </c>
      <c r="B12" s="35" t="s">
        <v>246</v>
      </c>
      <c r="C12" s="38" t="s">
        <v>203</v>
      </c>
      <c r="D12" s="42"/>
      <c r="E12" s="42" t="s">
        <v>247</v>
      </c>
      <c r="F12" s="44"/>
      <c r="G12" s="42"/>
      <c r="H12" s="42"/>
      <c r="I12" s="45"/>
    </row>
    <row r="13" spans="1:9" ht="30" x14ac:dyDescent="0.25">
      <c r="A13" s="37" t="s">
        <v>248</v>
      </c>
      <c r="B13" s="35" t="s">
        <v>249</v>
      </c>
      <c r="C13" s="38" t="s">
        <v>203</v>
      </c>
      <c r="D13" s="42"/>
      <c r="E13" s="42" t="s">
        <v>250</v>
      </c>
      <c r="F13" s="44"/>
      <c r="G13" s="42"/>
      <c r="H13" s="42"/>
      <c r="I13" s="45"/>
    </row>
    <row r="14" spans="1:9" ht="60" x14ac:dyDescent="0.25">
      <c r="A14" s="37" t="s">
        <v>251</v>
      </c>
      <c r="B14" s="35" t="s">
        <v>252</v>
      </c>
      <c r="C14" s="38" t="s">
        <v>253</v>
      </c>
      <c r="D14" s="42"/>
      <c r="E14" s="42" t="s">
        <v>254</v>
      </c>
      <c r="F14" s="44"/>
      <c r="G14" s="42"/>
      <c r="H14" s="42"/>
      <c r="I14" s="45"/>
    </row>
    <row r="15" spans="1:9" ht="60" x14ac:dyDescent="0.25">
      <c r="A15" s="37" t="s">
        <v>255</v>
      </c>
      <c r="B15" s="35" t="s">
        <v>256</v>
      </c>
      <c r="C15" s="38" t="s">
        <v>253</v>
      </c>
      <c r="D15" s="42"/>
      <c r="E15" s="42"/>
      <c r="F15" s="42"/>
      <c r="G15" s="42"/>
      <c r="H15" s="42"/>
      <c r="I15" s="45"/>
    </row>
    <row r="16" spans="1:9" ht="45" x14ac:dyDescent="0.25">
      <c r="A16" s="37" t="s">
        <v>257</v>
      </c>
      <c r="B16" s="35" t="s">
        <v>258</v>
      </c>
      <c r="C16" s="38" t="s">
        <v>253</v>
      </c>
      <c r="D16" s="42"/>
      <c r="E16" s="42"/>
      <c r="F16" s="42"/>
      <c r="G16" s="42"/>
      <c r="H16" s="42"/>
      <c r="I16" s="45"/>
    </row>
    <row r="17" spans="1:9" ht="75" x14ac:dyDescent="0.25">
      <c r="A17" s="37" t="s">
        <v>505</v>
      </c>
      <c r="B17" s="35" t="s">
        <v>507</v>
      </c>
      <c r="C17" s="38" t="s">
        <v>253</v>
      </c>
      <c r="D17" s="42"/>
      <c r="E17" s="42"/>
      <c r="F17" s="42"/>
      <c r="G17" s="42"/>
      <c r="H17" s="42"/>
      <c r="I17" s="45"/>
    </row>
    <row r="18" spans="1:9" ht="30" x14ac:dyDescent="0.25">
      <c r="A18" s="37" t="s">
        <v>259</v>
      </c>
      <c r="B18" s="35" t="s">
        <v>260</v>
      </c>
      <c r="C18" s="38" t="s">
        <v>261</v>
      </c>
      <c r="D18" s="42"/>
      <c r="E18" s="42"/>
      <c r="F18" s="42"/>
      <c r="G18" s="42"/>
      <c r="H18" s="42"/>
      <c r="I18" s="45"/>
    </row>
    <row r="19" spans="1:9" ht="75" x14ac:dyDescent="0.25">
      <c r="A19" s="37" t="s">
        <v>262</v>
      </c>
      <c r="B19" s="35" t="s">
        <v>263</v>
      </c>
      <c r="C19" s="38" t="s">
        <v>261</v>
      </c>
      <c r="D19" s="42"/>
      <c r="E19" s="42"/>
      <c r="F19" s="42"/>
      <c r="G19" s="42"/>
      <c r="H19" s="42"/>
      <c r="I19" s="45"/>
    </row>
    <row r="20" spans="1:9" ht="60" x14ac:dyDescent="0.25">
      <c r="A20" s="37" t="s">
        <v>264</v>
      </c>
      <c r="B20" s="35" t="s">
        <v>265</v>
      </c>
      <c r="C20" s="38" t="s">
        <v>261</v>
      </c>
      <c r="D20" s="42"/>
      <c r="E20" s="42"/>
      <c r="F20" s="42"/>
      <c r="G20" s="42"/>
      <c r="H20" s="42"/>
      <c r="I20" s="45"/>
    </row>
    <row r="21" spans="1:9" ht="60" x14ac:dyDescent="0.25">
      <c r="A21" s="37" t="s">
        <v>478</v>
      </c>
      <c r="B21" s="35" t="s">
        <v>479</v>
      </c>
      <c r="C21" s="38" t="s">
        <v>261</v>
      </c>
      <c r="D21" s="42"/>
      <c r="E21" s="42"/>
      <c r="F21" s="42"/>
      <c r="G21" s="42"/>
      <c r="H21" s="42"/>
      <c r="I21" s="45"/>
    </row>
    <row r="22" spans="1:9" ht="60" x14ac:dyDescent="0.25">
      <c r="A22" s="37" t="s">
        <v>251</v>
      </c>
      <c r="B22" s="35" t="s">
        <v>267</v>
      </c>
      <c r="C22" s="38" t="s">
        <v>261</v>
      </c>
      <c r="D22" s="42"/>
      <c r="E22" s="42"/>
      <c r="F22" s="42"/>
      <c r="G22" s="42"/>
      <c r="H22" s="42"/>
      <c r="I22" s="45"/>
    </row>
    <row r="23" spans="1:9" ht="60" x14ac:dyDescent="0.25">
      <c r="A23" s="37" t="s">
        <v>255</v>
      </c>
      <c r="B23" s="35" t="s">
        <v>268</v>
      </c>
      <c r="C23" s="38" t="s">
        <v>261</v>
      </c>
      <c r="D23" s="42"/>
      <c r="E23" s="42"/>
      <c r="F23" s="42"/>
      <c r="G23" s="42"/>
      <c r="H23" s="42"/>
      <c r="I23" s="45"/>
    </row>
    <row r="24" spans="1:9" ht="45.75" thickBot="1" x14ac:dyDescent="0.3">
      <c r="A24" s="39" t="s">
        <v>257</v>
      </c>
      <c r="B24" s="40" t="s">
        <v>269</v>
      </c>
      <c r="C24" s="41" t="s">
        <v>261</v>
      </c>
      <c r="D24" s="42"/>
      <c r="E24" s="42"/>
      <c r="F24" s="42"/>
      <c r="G24" s="42"/>
      <c r="H24" s="42"/>
      <c r="I24" s="45"/>
    </row>
    <row r="25" spans="1:9" ht="60.75" thickBot="1" x14ac:dyDescent="0.3">
      <c r="A25" s="39" t="s">
        <v>505</v>
      </c>
      <c r="B25" s="40" t="s">
        <v>506</v>
      </c>
      <c r="C25" s="41" t="s">
        <v>261</v>
      </c>
      <c r="D25" s="43"/>
      <c r="E25" s="43"/>
      <c r="F25" s="43"/>
      <c r="G25" s="43"/>
      <c r="H25" s="43"/>
      <c r="I25" s="4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62"/>
  <sheetViews>
    <sheetView topLeftCell="E1" workbookViewId="0">
      <pane ySplit="1" topLeftCell="A28" activePane="bottomLeft" state="frozen"/>
      <selection activeCell="B1" sqref="B1"/>
      <selection pane="bottomLeft" activeCell="G41" sqref="G41"/>
    </sheetView>
  </sheetViews>
  <sheetFormatPr defaultRowHeight="15" x14ac:dyDescent="0.25"/>
  <cols>
    <col min="1" max="1" width="19.140625" bestFit="1" customWidth="1"/>
    <col min="2" max="7" width="30.7109375" customWidth="1"/>
  </cols>
  <sheetData>
    <row r="1" spans="1:9" x14ac:dyDescent="0.25">
      <c r="A1" s="72"/>
      <c r="B1" s="65" t="s">
        <v>270</v>
      </c>
      <c r="C1" s="65" t="s">
        <v>271</v>
      </c>
      <c r="D1" s="64" t="s">
        <v>272</v>
      </c>
      <c r="E1" s="64" t="s">
        <v>273</v>
      </c>
      <c r="F1" s="64" t="s">
        <v>274</v>
      </c>
      <c r="G1" s="64" t="s">
        <v>275</v>
      </c>
      <c r="I1" t="s">
        <v>326</v>
      </c>
    </row>
    <row r="2" spans="1:9" x14ac:dyDescent="0.25">
      <c r="A2" s="74" t="s">
        <v>276</v>
      </c>
      <c r="B2" s="75" t="s">
        <v>119</v>
      </c>
      <c r="C2" s="68" t="s">
        <v>92</v>
      </c>
      <c r="D2" s="69" t="s">
        <v>99</v>
      </c>
      <c r="E2" s="69" t="s">
        <v>110</v>
      </c>
      <c r="F2" s="63" t="s">
        <v>133</v>
      </c>
      <c r="G2" s="69" t="s">
        <v>156</v>
      </c>
      <c r="I2" t="s">
        <v>327</v>
      </c>
    </row>
    <row r="3" spans="1:9" x14ac:dyDescent="0.25">
      <c r="A3" s="74" t="s">
        <v>277</v>
      </c>
      <c r="B3" s="76" t="s">
        <v>47</v>
      </c>
      <c r="C3" s="67" t="s">
        <v>52</v>
      </c>
      <c r="D3" s="66" t="s">
        <v>15</v>
      </c>
      <c r="E3" s="66" t="s">
        <v>128</v>
      </c>
      <c r="F3" s="63" t="s">
        <v>138</v>
      </c>
      <c r="G3" s="66" t="s">
        <v>169</v>
      </c>
      <c r="I3" t="s">
        <v>328</v>
      </c>
    </row>
    <row r="4" spans="1:9" x14ac:dyDescent="0.25">
      <c r="A4" s="74" t="s">
        <v>278</v>
      </c>
      <c r="B4" s="67" t="s">
        <v>85</v>
      </c>
      <c r="C4" s="67" t="s">
        <v>57</v>
      </c>
      <c r="D4" s="66" t="s">
        <v>152</v>
      </c>
      <c r="E4" s="66" t="s">
        <v>105</v>
      </c>
      <c r="F4" s="66" t="s">
        <v>144</v>
      </c>
      <c r="G4" s="66" t="s">
        <v>148</v>
      </c>
      <c r="I4" t="s">
        <v>476</v>
      </c>
    </row>
    <row r="5" spans="1:9" ht="15.75" thickBot="1" x14ac:dyDescent="0.3">
      <c r="A5" s="74" t="s">
        <v>279</v>
      </c>
      <c r="B5" s="73" t="s">
        <v>174</v>
      </c>
      <c r="C5" s="73" t="s">
        <v>80</v>
      </c>
      <c r="D5" s="70" t="s">
        <v>21</v>
      </c>
      <c r="E5" s="70" t="s">
        <v>75</v>
      </c>
      <c r="F5" s="70" t="s">
        <v>114</v>
      </c>
      <c r="G5" s="71" t="s">
        <v>27</v>
      </c>
      <c r="I5" t="s">
        <v>332</v>
      </c>
    </row>
    <row r="6" spans="1:9" ht="15.75" thickBot="1" x14ac:dyDescent="0.3">
      <c r="A6" s="97" t="s">
        <v>280</v>
      </c>
      <c r="B6" s="98" t="s">
        <v>135</v>
      </c>
      <c r="C6" s="99" t="s">
        <v>42</v>
      </c>
      <c r="D6" s="100" t="s">
        <v>94</v>
      </c>
      <c r="E6" s="101" t="s">
        <v>146</v>
      </c>
      <c r="F6" s="100" t="s">
        <v>81</v>
      </c>
      <c r="G6" s="102" t="s">
        <v>154</v>
      </c>
      <c r="I6" t="s">
        <v>333</v>
      </c>
    </row>
    <row r="7" spans="1:9" ht="15.75" thickBot="1" x14ac:dyDescent="0.3">
      <c r="A7" s="77" t="s">
        <v>281</v>
      </c>
      <c r="B7" s="77" t="s">
        <v>282</v>
      </c>
      <c r="C7" s="74" t="s">
        <v>383</v>
      </c>
      <c r="D7" t="s">
        <v>283</v>
      </c>
      <c r="E7" s="74" t="s">
        <v>284</v>
      </c>
      <c r="F7" t="s">
        <v>285</v>
      </c>
      <c r="G7" s="74" t="s">
        <v>201</v>
      </c>
      <c r="I7" t="s">
        <v>337</v>
      </c>
    </row>
    <row r="8" spans="1:9" x14ac:dyDescent="0.25">
      <c r="A8" s="95" t="s">
        <v>334</v>
      </c>
      <c r="B8" s="95" t="s">
        <v>273</v>
      </c>
      <c r="C8" s="91" t="s">
        <v>274</v>
      </c>
      <c r="D8" s="95" t="s">
        <v>275</v>
      </c>
      <c r="E8" s="91" t="s">
        <v>270</v>
      </c>
      <c r="F8" s="95" t="s">
        <v>271</v>
      </c>
      <c r="G8" s="92" t="s">
        <v>272</v>
      </c>
      <c r="I8" t="s">
        <v>338</v>
      </c>
    </row>
    <row r="9" spans="1:9" x14ac:dyDescent="0.25">
      <c r="A9" s="63" t="s">
        <v>335</v>
      </c>
      <c r="B9" s="63" t="s">
        <v>274</v>
      </c>
      <c r="C9" t="s">
        <v>272</v>
      </c>
      <c r="D9" s="63" t="s">
        <v>271</v>
      </c>
      <c r="E9" t="s">
        <v>275</v>
      </c>
      <c r="F9" s="63" t="s">
        <v>270</v>
      </c>
      <c r="G9" s="76" t="s">
        <v>273</v>
      </c>
    </row>
    <row r="10" spans="1:9" ht="15.75" thickBot="1" x14ac:dyDescent="0.3">
      <c r="A10" s="96" t="s">
        <v>336</v>
      </c>
      <c r="B10" s="96" t="s">
        <v>272</v>
      </c>
      <c r="C10" s="93" t="s">
        <v>275</v>
      </c>
      <c r="D10" s="96" t="s">
        <v>270</v>
      </c>
      <c r="E10" s="93" t="s">
        <v>274</v>
      </c>
      <c r="F10" s="96" t="s">
        <v>273</v>
      </c>
      <c r="G10" s="94" t="s">
        <v>271</v>
      </c>
    </row>
    <row r="12" spans="1:9" x14ac:dyDescent="0.25">
      <c r="A12" s="3" t="s">
        <v>366</v>
      </c>
    </row>
    <row r="13" spans="1:9" ht="45" x14ac:dyDescent="0.25">
      <c r="A13" s="3" t="s">
        <v>367</v>
      </c>
      <c r="B13" s="2" t="s">
        <v>385</v>
      </c>
      <c r="C13" s="2" t="s">
        <v>386</v>
      </c>
      <c r="D13" s="2"/>
      <c r="E13" s="2" t="s">
        <v>387</v>
      </c>
      <c r="F13" s="2" t="s">
        <v>388</v>
      </c>
      <c r="G13" s="2" t="s">
        <v>389</v>
      </c>
    </row>
    <row r="14" spans="1:9" ht="30" x14ac:dyDescent="0.25">
      <c r="A14" s="3"/>
      <c r="B14" s="2" t="s">
        <v>376</v>
      </c>
      <c r="C14" s="2" t="s">
        <v>376</v>
      </c>
      <c r="D14" s="2" t="s">
        <v>376</v>
      </c>
      <c r="E14" s="2" t="s">
        <v>376</v>
      </c>
      <c r="F14" s="2" t="s">
        <v>376</v>
      </c>
      <c r="G14" s="2" t="s">
        <v>376</v>
      </c>
    </row>
    <row r="15" spans="1:9" ht="45" x14ac:dyDescent="0.25">
      <c r="A15" s="3"/>
      <c r="B15" s="2" t="s">
        <v>377</v>
      </c>
      <c r="C15" s="2" t="s">
        <v>377</v>
      </c>
      <c r="D15" s="2" t="s">
        <v>377</v>
      </c>
      <c r="E15" s="2" t="s">
        <v>377</v>
      </c>
      <c r="F15" s="2" t="s">
        <v>377</v>
      </c>
      <c r="G15" s="2" t="s">
        <v>377</v>
      </c>
    </row>
    <row r="16" spans="1:9" ht="30" x14ac:dyDescent="0.25">
      <c r="A16" s="3"/>
      <c r="B16" s="2" t="s">
        <v>368</v>
      </c>
      <c r="C16" s="2" t="s">
        <v>368</v>
      </c>
      <c r="D16" s="2" t="s">
        <v>368</v>
      </c>
      <c r="E16" s="2" t="s">
        <v>368</v>
      </c>
      <c r="F16" s="2" t="s">
        <v>368</v>
      </c>
      <c r="G16" s="2" t="s">
        <v>368</v>
      </c>
    </row>
    <row r="17" spans="1:9" ht="30" x14ac:dyDescent="0.25">
      <c r="A17" s="3"/>
      <c r="B17" s="2" t="s">
        <v>374</v>
      </c>
      <c r="C17" s="2" t="s">
        <v>374</v>
      </c>
      <c r="D17" s="2" t="s">
        <v>374</v>
      </c>
      <c r="E17" s="2" t="s">
        <v>374</v>
      </c>
      <c r="F17" s="2" t="s">
        <v>374</v>
      </c>
      <c r="G17" s="2" t="s">
        <v>374</v>
      </c>
    </row>
    <row r="18" spans="1:9" ht="60" x14ac:dyDescent="0.25">
      <c r="A18" s="3"/>
      <c r="B18" s="2" t="s">
        <v>372</v>
      </c>
      <c r="C18" s="2" t="s">
        <v>372</v>
      </c>
      <c r="D18" s="2" t="s">
        <v>372</v>
      </c>
      <c r="E18" s="2" t="s">
        <v>372</v>
      </c>
      <c r="F18" s="2" t="s">
        <v>372</v>
      </c>
      <c r="G18" s="2" t="s">
        <v>372</v>
      </c>
    </row>
    <row r="19" spans="1:9" ht="45" x14ac:dyDescent="0.25">
      <c r="A19" s="3"/>
      <c r="B19" s="2" t="s">
        <v>373</v>
      </c>
      <c r="C19" s="2" t="s">
        <v>373</v>
      </c>
      <c r="D19" s="2" t="s">
        <v>373</v>
      </c>
      <c r="E19" s="2" t="s">
        <v>373</v>
      </c>
      <c r="F19" s="2" t="s">
        <v>373</v>
      </c>
      <c r="G19" s="2" t="s">
        <v>373</v>
      </c>
    </row>
    <row r="20" spans="1:9" ht="105" x14ac:dyDescent="0.25">
      <c r="A20" s="3"/>
      <c r="B20" s="2" t="s">
        <v>380</v>
      </c>
      <c r="C20" s="2" t="s">
        <v>381</v>
      </c>
      <c r="D20" s="2" t="s">
        <v>375</v>
      </c>
      <c r="E20" s="2" t="s">
        <v>370</v>
      </c>
      <c r="F20" s="2" t="s">
        <v>369</v>
      </c>
      <c r="G20" s="2" t="s">
        <v>384</v>
      </c>
    </row>
    <row r="21" spans="1:9" ht="90" x14ac:dyDescent="0.25">
      <c r="A21" s="3"/>
      <c r="B21" s="2" t="s">
        <v>379</v>
      </c>
      <c r="C21" s="2" t="s">
        <v>390</v>
      </c>
      <c r="D21" s="2" t="s">
        <v>378</v>
      </c>
      <c r="E21" s="2" t="s">
        <v>382</v>
      </c>
      <c r="F21" s="2" t="s">
        <v>371</v>
      </c>
    </row>
    <row r="22" spans="1:9" ht="90" x14ac:dyDescent="0.25">
      <c r="A22" s="3" t="s">
        <v>391</v>
      </c>
      <c r="B22" s="2" t="s">
        <v>392</v>
      </c>
      <c r="C22" s="2"/>
      <c r="D22" s="2" t="s">
        <v>393</v>
      </c>
      <c r="E22" s="2"/>
      <c r="F22" s="2"/>
      <c r="G22" s="2"/>
    </row>
    <row r="23" spans="1:9" ht="225" x14ac:dyDescent="0.25">
      <c r="A23" s="3" t="s">
        <v>394</v>
      </c>
      <c r="B23" s="2" t="s">
        <v>400</v>
      </c>
      <c r="C23" s="2" t="s">
        <v>398</v>
      </c>
      <c r="D23" s="2" t="s">
        <v>401</v>
      </c>
      <c r="E23" s="2" t="s">
        <v>399</v>
      </c>
      <c r="F23" s="2" t="s">
        <v>402</v>
      </c>
      <c r="G23" s="2" t="s">
        <v>403</v>
      </c>
    </row>
    <row r="24" spans="1:9" ht="255" x14ac:dyDescent="0.25">
      <c r="A24" s="3"/>
      <c r="B24" s="2" t="s">
        <v>404</v>
      </c>
      <c r="C24" s="2" t="s">
        <v>410</v>
      </c>
      <c r="D24" s="2" t="s">
        <v>405</v>
      </c>
      <c r="E24" s="2" t="s">
        <v>406</v>
      </c>
      <c r="F24" s="2" t="s">
        <v>407</v>
      </c>
      <c r="G24" s="2" t="s">
        <v>411</v>
      </c>
    </row>
    <row r="25" spans="1:9" ht="345" x14ac:dyDescent="0.25">
      <c r="A25" s="3"/>
      <c r="B25" s="2" t="s">
        <v>408</v>
      </c>
      <c r="C25" s="2" t="s">
        <v>409</v>
      </c>
      <c r="D25" s="2" t="s">
        <v>412</v>
      </c>
      <c r="E25" s="2" t="s">
        <v>413</v>
      </c>
      <c r="F25" s="2" t="s">
        <v>441</v>
      </c>
      <c r="G25" s="2" t="s">
        <v>340</v>
      </c>
    </row>
    <row r="26" spans="1:9" ht="105" x14ac:dyDescent="0.25">
      <c r="A26" s="3"/>
      <c r="B26" s="2" t="s">
        <v>414</v>
      </c>
      <c r="C26" s="2" t="s">
        <v>415</v>
      </c>
      <c r="D26" s="2" t="s">
        <v>416</v>
      </c>
      <c r="E26" s="2" t="s">
        <v>417</v>
      </c>
      <c r="F26" s="2" t="s">
        <v>417</v>
      </c>
      <c r="G26" s="2" t="s">
        <v>418</v>
      </c>
    </row>
    <row r="27" spans="1:9" ht="255" x14ac:dyDescent="0.25">
      <c r="A27" s="3" t="s">
        <v>397</v>
      </c>
      <c r="B27" s="2" t="s">
        <v>421</v>
      </c>
      <c r="C27" s="2" t="s">
        <v>424</v>
      </c>
      <c r="D27" s="2" t="s">
        <v>419</v>
      </c>
      <c r="E27" s="2" t="s">
        <v>426</v>
      </c>
      <c r="F27" s="2" t="s">
        <v>420</v>
      </c>
      <c r="G27" s="2" t="s">
        <v>422</v>
      </c>
    </row>
    <row r="28" spans="1:9" ht="195" x14ac:dyDescent="0.25">
      <c r="A28" s="3"/>
      <c r="B28" s="2"/>
      <c r="C28" s="2"/>
      <c r="D28" s="2" t="s">
        <v>423</v>
      </c>
      <c r="E28" s="2" t="s">
        <v>427</v>
      </c>
      <c r="F28" s="2" t="s">
        <v>425</v>
      </c>
      <c r="G28" s="2"/>
    </row>
    <row r="29" spans="1:9" ht="120" x14ac:dyDescent="0.25">
      <c r="A29" s="3" t="s">
        <v>428</v>
      </c>
      <c r="B29" s="2" t="s">
        <v>431</v>
      </c>
      <c r="C29" s="2" t="s">
        <v>429</v>
      </c>
      <c r="D29" s="2" t="s">
        <v>431</v>
      </c>
      <c r="E29" s="2" t="s">
        <v>431</v>
      </c>
      <c r="F29" s="2" t="s">
        <v>431</v>
      </c>
      <c r="G29" s="2" t="s">
        <v>430</v>
      </c>
    </row>
    <row r="30" spans="1:9" ht="30" x14ac:dyDescent="0.25">
      <c r="A30" s="3" t="s">
        <v>395</v>
      </c>
      <c r="B30" s="2" t="s">
        <v>229</v>
      </c>
      <c r="C30" s="2" t="s">
        <v>345</v>
      </c>
      <c r="D30" s="2" t="s">
        <v>340</v>
      </c>
      <c r="E30" s="2" t="s">
        <v>343</v>
      </c>
      <c r="F30" s="2" t="s">
        <v>344</v>
      </c>
      <c r="G30" s="2" t="s">
        <v>264</v>
      </c>
      <c r="I30" t="s">
        <v>349</v>
      </c>
    </row>
    <row r="31" spans="1:9" x14ac:dyDescent="0.25">
      <c r="A31" s="3"/>
      <c r="B31" s="2" t="s">
        <v>241</v>
      </c>
      <c r="C31" s="2" t="s">
        <v>245</v>
      </c>
      <c r="D31" s="2" t="s">
        <v>350</v>
      </c>
      <c r="E31" s="2" t="s">
        <v>346</v>
      </c>
      <c r="F31" s="2" t="s">
        <v>241</v>
      </c>
      <c r="G31" s="2" t="s">
        <v>341</v>
      </c>
    </row>
    <row r="32" spans="1:9" x14ac:dyDescent="0.25">
      <c r="A32" s="3"/>
      <c r="B32" s="2" t="s">
        <v>339</v>
      </c>
      <c r="C32" s="2" t="s">
        <v>347</v>
      </c>
      <c r="D32" s="2" t="s">
        <v>348</v>
      </c>
      <c r="E32" s="2" t="s">
        <v>351</v>
      </c>
      <c r="F32" s="2" t="s">
        <v>340</v>
      </c>
      <c r="G32" s="2" t="s">
        <v>355</v>
      </c>
    </row>
    <row r="33" spans="1:9" x14ac:dyDescent="0.25">
      <c r="A33" s="3"/>
      <c r="B33" s="2" t="s">
        <v>351</v>
      </c>
      <c r="C33" s="2" t="s">
        <v>339</v>
      </c>
      <c r="D33" s="2" t="s">
        <v>202</v>
      </c>
      <c r="E33" s="2" t="s">
        <v>339</v>
      </c>
      <c r="F33" s="2" t="s">
        <v>352</v>
      </c>
      <c r="G33" s="2" t="s">
        <v>340</v>
      </c>
    </row>
    <row r="34" spans="1:9" x14ac:dyDescent="0.25">
      <c r="A34" s="3"/>
      <c r="B34" s="2"/>
      <c r="D34" s="2" t="s">
        <v>365</v>
      </c>
      <c r="E34" s="2"/>
      <c r="F34" s="2"/>
      <c r="G34" s="2"/>
    </row>
    <row r="35" spans="1:9" x14ac:dyDescent="0.25">
      <c r="A35" s="3"/>
      <c r="B35" s="2"/>
      <c r="D35" s="2"/>
      <c r="E35" s="2"/>
      <c r="F35" s="2"/>
      <c r="G35" s="2"/>
    </row>
    <row r="36" spans="1:9" x14ac:dyDescent="0.25">
      <c r="A36" s="3" t="s">
        <v>397</v>
      </c>
      <c r="B36" s="2" t="s">
        <v>359</v>
      </c>
      <c r="C36" s="2" t="s">
        <v>264</v>
      </c>
      <c r="D36" s="2" t="s">
        <v>236</v>
      </c>
      <c r="E36" s="2"/>
      <c r="F36" s="2"/>
      <c r="G36" s="2"/>
    </row>
    <row r="37" spans="1:9" ht="30" x14ac:dyDescent="0.25">
      <c r="A37" s="3" t="s">
        <v>396</v>
      </c>
      <c r="B37" s="2" t="s">
        <v>245</v>
      </c>
      <c r="C37" s="2" t="s">
        <v>241</v>
      </c>
      <c r="D37" s="2" t="s">
        <v>359</v>
      </c>
      <c r="E37" s="2" t="s">
        <v>353</v>
      </c>
      <c r="F37" s="2" t="s">
        <v>354</v>
      </c>
      <c r="G37" s="2" t="s">
        <v>342</v>
      </c>
      <c r="I37" t="s">
        <v>349</v>
      </c>
    </row>
    <row r="38" spans="1:9" x14ac:dyDescent="0.25">
      <c r="A38" s="3"/>
      <c r="B38" s="2" t="s">
        <v>248</v>
      </c>
      <c r="C38" s="2" t="s">
        <v>245</v>
      </c>
      <c r="D38" s="2" t="s">
        <v>245</v>
      </c>
      <c r="E38" s="2" t="s">
        <v>245</v>
      </c>
      <c r="F38" s="2" t="s">
        <v>442</v>
      </c>
      <c r="G38" s="2" t="s">
        <v>363</v>
      </c>
      <c r="I38" t="s">
        <v>358</v>
      </c>
    </row>
    <row r="39" spans="1:9" x14ac:dyDescent="0.25">
      <c r="A39" s="3"/>
      <c r="B39" s="3"/>
      <c r="C39" s="2" t="s">
        <v>357</v>
      </c>
      <c r="D39" s="2" t="s">
        <v>248</v>
      </c>
      <c r="E39" s="2" t="s">
        <v>443</v>
      </c>
      <c r="F39" s="2" t="s">
        <v>245</v>
      </c>
      <c r="G39" s="2" t="s">
        <v>356</v>
      </c>
      <c r="I39" t="s">
        <v>360</v>
      </c>
    </row>
    <row r="40" spans="1:9" x14ac:dyDescent="0.25">
      <c r="A40" s="3"/>
      <c r="B40" s="2"/>
      <c r="D40" s="2"/>
      <c r="E40" s="2" t="s">
        <v>359</v>
      </c>
      <c r="F40" s="2" t="s">
        <v>359</v>
      </c>
      <c r="G40" s="2"/>
      <c r="I40" t="s">
        <v>361</v>
      </c>
    </row>
    <row r="41" spans="1:9" x14ac:dyDescent="0.25">
      <c r="A41" s="3"/>
      <c r="B41" s="1"/>
      <c r="C41" s="1"/>
      <c r="D41" s="1"/>
      <c r="E41" s="1"/>
      <c r="F41" s="1"/>
      <c r="G41" s="1"/>
    </row>
    <row r="42" spans="1:9" x14ac:dyDescent="0.25">
      <c r="A42" s="3"/>
      <c r="B42" s="1"/>
      <c r="C42" s="1"/>
      <c r="D42" s="1"/>
      <c r="E42" s="1"/>
      <c r="F42" s="1"/>
      <c r="G42" s="1"/>
    </row>
    <row r="43" spans="1:9" x14ac:dyDescent="0.25">
      <c r="A43" s="3"/>
      <c r="B43" s="1"/>
      <c r="C43" s="1"/>
      <c r="D43" s="1"/>
      <c r="E43" s="1"/>
      <c r="F43" s="1"/>
      <c r="G43" s="1"/>
    </row>
    <row r="44" spans="1:9" x14ac:dyDescent="0.25">
      <c r="B44" s="1"/>
      <c r="C44" s="1"/>
      <c r="D44" s="1"/>
      <c r="E44" s="1"/>
      <c r="F44" s="1"/>
      <c r="G44" s="1"/>
    </row>
    <row r="47" spans="1:9" ht="30" x14ac:dyDescent="0.25">
      <c r="B47" s="2" t="s">
        <v>340</v>
      </c>
      <c r="C47" s="2" t="s">
        <v>432</v>
      </c>
      <c r="D47" s="2" t="s">
        <v>339</v>
      </c>
      <c r="E47" s="2" t="s">
        <v>264</v>
      </c>
      <c r="F47" s="2" t="s">
        <v>433</v>
      </c>
      <c r="G47" s="2" t="s">
        <v>241</v>
      </c>
    </row>
    <row r="48" spans="1:9" ht="30" x14ac:dyDescent="0.25">
      <c r="B48" s="2" t="s">
        <v>339</v>
      </c>
      <c r="C48" s="2" t="s">
        <v>434</v>
      </c>
      <c r="D48" s="2" t="s">
        <v>266</v>
      </c>
      <c r="E48" s="2" t="s">
        <v>339</v>
      </c>
      <c r="F48" s="2" t="s">
        <v>232</v>
      </c>
      <c r="G48" s="2" t="s">
        <v>435</v>
      </c>
    </row>
    <row r="49" spans="2:7" ht="30" x14ac:dyDescent="0.25">
      <c r="B49" s="2" t="s">
        <v>436</v>
      </c>
      <c r="C49" s="2" t="s">
        <v>229</v>
      </c>
      <c r="D49" s="2" t="s">
        <v>341</v>
      </c>
      <c r="E49" s="2" t="s">
        <v>437</v>
      </c>
      <c r="F49" s="2" t="s">
        <v>444</v>
      </c>
      <c r="G49" s="2" t="s">
        <v>340</v>
      </c>
    </row>
    <row r="50" spans="2:7" ht="30" x14ac:dyDescent="0.25">
      <c r="B50" s="2" t="s">
        <v>438</v>
      </c>
      <c r="C50" s="2"/>
      <c r="D50" s="2" t="s">
        <v>224</v>
      </c>
      <c r="E50" s="2" t="s">
        <v>241</v>
      </c>
      <c r="F50" s="2" t="s">
        <v>241</v>
      </c>
      <c r="G50" s="2"/>
    </row>
    <row r="52" spans="2:7" ht="30" x14ac:dyDescent="0.25">
      <c r="B52" s="2" t="s">
        <v>229</v>
      </c>
      <c r="C52" s="2" t="s">
        <v>345</v>
      </c>
      <c r="D52" s="2" t="s">
        <v>340</v>
      </c>
      <c r="E52" s="2" t="s">
        <v>343</v>
      </c>
      <c r="F52" s="2" t="s">
        <v>344</v>
      </c>
      <c r="G52" s="2" t="s">
        <v>264</v>
      </c>
    </row>
    <row r="53" spans="2:7" x14ac:dyDescent="0.25">
      <c r="B53" s="2" t="s">
        <v>241</v>
      </c>
      <c r="C53" s="2" t="s">
        <v>347</v>
      </c>
      <c r="D53" s="2" t="s">
        <v>350</v>
      </c>
      <c r="E53" s="2" t="s">
        <v>346</v>
      </c>
      <c r="F53" s="2" t="s">
        <v>241</v>
      </c>
      <c r="G53" s="2" t="s">
        <v>341</v>
      </c>
    </row>
    <row r="54" spans="2:7" x14ac:dyDescent="0.25">
      <c r="B54" s="2" t="s">
        <v>339</v>
      </c>
      <c r="C54" s="2" t="s">
        <v>339</v>
      </c>
      <c r="D54" s="2" t="s">
        <v>348</v>
      </c>
      <c r="E54" s="2" t="s">
        <v>351</v>
      </c>
      <c r="F54" s="2" t="s">
        <v>340</v>
      </c>
      <c r="G54" s="2" t="s">
        <v>355</v>
      </c>
    </row>
    <row r="55" spans="2:7" x14ac:dyDescent="0.25">
      <c r="B55" s="2" t="s">
        <v>351</v>
      </c>
      <c r="C55" s="2" t="s">
        <v>245</v>
      </c>
      <c r="D55" s="2" t="s">
        <v>202</v>
      </c>
      <c r="E55" s="2" t="s">
        <v>339</v>
      </c>
      <c r="F55" s="2" t="s">
        <v>352</v>
      </c>
      <c r="G55" s="2" t="s">
        <v>340</v>
      </c>
    </row>
    <row r="56" spans="2:7" x14ac:dyDescent="0.25">
      <c r="B56" s="2"/>
      <c r="C56" s="2"/>
      <c r="D56" s="2" t="s">
        <v>365</v>
      </c>
      <c r="E56" s="2"/>
      <c r="F56" s="2"/>
      <c r="G56" s="2"/>
    </row>
    <row r="57" spans="2:7" x14ac:dyDescent="0.25">
      <c r="B57" s="2"/>
      <c r="C57" s="2"/>
      <c r="D57" s="2"/>
      <c r="E57" s="2"/>
      <c r="F57" s="2"/>
      <c r="G57" s="2"/>
    </row>
    <row r="58" spans="2:7" ht="30" x14ac:dyDescent="0.25">
      <c r="B58" s="2" t="s">
        <v>359</v>
      </c>
      <c r="C58" s="2" t="s">
        <v>359</v>
      </c>
      <c r="D58" s="2" t="s">
        <v>236</v>
      </c>
      <c r="E58" s="2" t="s">
        <v>353</v>
      </c>
      <c r="F58" s="2" t="s">
        <v>354</v>
      </c>
      <c r="G58" s="2" t="s">
        <v>342</v>
      </c>
    </row>
    <row r="59" spans="2:7" x14ac:dyDescent="0.25">
      <c r="B59" s="2" t="s">
        <v>245</v>
      </c>
      <c r="C59" s="2" t="s">
        <v>264</v>
      </c>
      <c r="D59" s="2" t="s">
        <v>359</v>
      </c>
      <c r="E59" s="2" t="s">
        <v>245</v>
      </c>
      <c r="F59" s="2" t="s">
        <v>442</v>
      </c>
      <c r="G59" s="2" t="s">
        <v>363</v>
      </c>
    </row>
    <row r="60" spans="2:7" x14ac:dyDescent="0.25">
      <c r="B60" s="2" t="s">
        <v>248</v>
      </c>
      <c r="C60" s="2" t="s">
        <v>241</v>
      </c>
      <c r="D60" s="2" t="s">
        <v>245</v>
      </c>
      <c r="E60" s="2" t="s">
        <v>443</v>
      </c>
      <c r="F60" s="2" t="s">
        <v>245</v>
      </c>
      <c r="G60" s="2" t="s">
        <v>356</v>
      </c>
    </row>
    <row r="61" spans="2:7" x14ac:dyDescent="0.25">
      <c r="B61" s="3"/>
      <c r="C61" s="2" t="s">
        <v>357</v>
      </c>
      <c r="D61" s="2" t="s">
        <v>248</v>
      </c>
      <c r="E61" s="2" t="s">
        <v>359</v>
      </c>
      <c r="F61" s="2" t="s">
        <v>359</v>
      </c>
      <c r="G61" s="2" t="s">
        <v>245</v>
      </c>
    </row>
    <row r="62" spans="2:7" x14ac:dyDescent="0.25">
      <c r="B62" s="2"/>
      <c r="C62" s="2"/>
      <c r="D62"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sheetPr>
    <pageSetUpPr fitToPage="1"/>
  </sheetPr>
  <dimension ref="A1:E4"/>
  <sheetViews>
    <sheetView workbookViewId="0">
      <selection activeCell="C4" sqref="C4"/>
    </sheetView>
  </sheetViews>
  <sheetFormatPr defaultColWidth="9.140625" defaultRowHeight="36" x14ac:dyDescent="0.55000000000000004"/>
  <cols>
    <col min="1" max="4" width="30.7109375" style="26" customWidth="1"/>
    <col min="5" max="5" width="5.140625" style="26" bestFit="1" customWidth="1"/>
    <col min="6" max="16384" width="9.140625" style="26"/>
  </cols>
  <sheetData>
    <row r="1" spans="1:5" ht="99.95" customHeight="1" thickBot="1" x14ac:dyDescent="0.6">
      <c r="A1" s="32" t="s">
        <v>241</v>
      </c>
      <c r="B1" s="32" t="s">
        <v>232</v>
      </c>
      <c r="C1" s="33" t="s">
        <v>236</v>
      </c>
      <c r="D1" s="32" t="s">
        <v>202</v>
      </c>
      <c r="E1" s="109" t="s">
        <v>203</v>
      </c>
    </row>
    <row r="2" spans="1:5" ht="99.95" customHeight="1" thickBot="1" x14ac:dyDescent="0.6">
      <c r="A2" s="31" t="s">
        <v>214</v>
      </c>
      <c r="B2" s="31" t="s">
        <v>220</v>
      </c>
      <c r="C2" s="27" t="s">
        <v>224</v>
      </c>
      <c r="D2" s="31" t="s">
        <v>229</v>
      </c>
      <c r="E2" s="110"/>
    </row>
    <row r="3" spans="1:5" ht="99.95" customHeight="1" thickBot="1" x14ac:dyDescent="0.6">
      <c r="A3" s="30" t="s">
        <v>245</v>
      </c>
      <c r="B3" s="30" t="s">
        <v>248</v>
      </c>
      <c r="C3" s="29" t="s">
        <v>452</v>
      </c>
      <c r="D3" s="30" t="s">
        <v>244</v>
      </c>
      <c r="E3" s="110"/>
    </row>
    <row r="4" spans="1:5" ht="99.95" customHeight="1" thickBot="1" x14ac:dyDescent="0.6">
      <c r="A4" s="34" t="s">
        <v>251</v>
      </c>
      <c r="B4" s="34" t="s">
        <v>255</v>
      </c>
      <c r="C4" s="61" t="s">
        <v>257</v>
      </c>
      <c r="D4" s="34"/>
      <c r="E4" s="62" t="s">
        <v>253</v>
      </c>
    </row>
  </sheetData>
  <mergeCells count="1">
    <mergeCell ref="E1:E3"/>
  </mergeCells>
  <pageMargins left="0.25" right="0.25" top="0.75" bottom="0.75" header="0.3" footer="0.3"/>
  <pageSetup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D694B-0EED-4AC2-99EA-DCB06F52FB86}">
  <sheetPr>
    <pageSetUpPr fitToPage="1"/>
  </sheetPr>
  <dimension ref="A1:E3"/>
  <sheetViews>
    <sheetView workbookViewId="0">
      <selection activeCell="F11" sqref="F11"/>
    </sheetView>
  </sheetViews>
  <sheetFormatPr defaultRowHeight="15" x14ac:dyDescent="0.25"/>
  <cols>
    <col min="1" max="4" width="30.7109375" customWidth="1"/>
    <col min="5" max="5" width="5.140625" bestFit="1" customWidth="1"/>
  </cols>
  <sheetData>
    <row r="1" spans="1:5" ht="99.95" customHeight="1" thickBot="1" x14ac:dyDescent="0.3">
      <c r="A1" s="28" t="s">
        <v>259</v>
      </c>
      <c r="B1" s="30" t="s">
        <v>262</v>
      </c>
      <c r="C1" s="29" t="s">
        <v>478</v>
      </c>
      <c r="D1" s="30" t="s">
        <v>264</v>
      </c>
      <c r="E1" s="111" t="s">
        <v>261</v>
      </c>
    </row>
    <row r="2" spans="1:5" ht="99.95" customHeight="1" thickBot="1" x14ac:dyDescent="0.3">
      <c r="A2" s="56" t="s">
        <v>251</v>
      </c>
      <c r="B2" s="32" t="s">
        <v>255</v>
      </c>
      <c r="C2" s="33" t="s">
        <v>257</v>
      </c>
      <c r="D2" s="55"/>
      <c r="E2" s="112"/>
    </row>
    <row r="3" spans="1:5" ht="99.95" customHeight="1" thickBot="1" x14ac:dyDescent="0.3">
      <c r="A3" s="57" t="s">
        <v>286</v>
      </c>
      <c r="B3" s="113" t="s">
        <v>287</v>
      </c>
      <c r="C3" s="114"/>
      <c r="D3" s="114"/>
      <c r="E3" s="115"/>
    </row>
  </sheetData>
  <mergeCells count="2">
    <mergeCell ref="E1:E2"/>
    <mergeCell ref="B3:E3"/>
  </mergeCells>
  <pageMargins left="0.25" right="0.25" top="0.75" bottom="0.75" header="0.3" footer="0.3"/>
  <pageSetup fitToHeight="0"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A2588-0653-4FD0-85C3-EF9530FC726F}">
  <dimension ref="A1:N8"/>
  <sheetViews>
    <sheetView workbookViewId="0">
      <selection activeCell="B8" sqref="B8"/>
    </sheetView>
  </sheetViews>
  <sheetFormatPr defaultRowHeight="15" x14ac:dyDescent="0.25"/>
  <cols>
    <col min="1" max="14" width="7.7109375" customWidth="1"/>
    <col min="15" max="15" width="17.85546875" customWidth="1"/>
  </cols>
  <sheetData>
    <row r="1" spans="1:14" ht="39.75" customHeight="1" thickBot="1" x14ac:dyDescent="0.3">
      <c r="A1" s="60">
        <v>0</v>
      </c>
      <c r="B1" s="60">
        <v>1</v>
      </c>
      <c r="C1" s="60">
        <v>2</v>
      </c>
      <c r="D1" s="60">
        <v>3</v>
      </c>
      <c r="E1" s="60">
        <v>4</v>
      </c>
      <c r="F1" s="60">
        <v>5</v>
      </c>
      <c r="G1" s="60">
        <v>6</v>
      </c>
      <c r="H1" s="60">
        <v>7</v>
      </c>
      <c r="I1" s="60">
        <v>8</v>
      </c>
      <c r="J1" s="60">
        <v>9</v>
      </c>
      <c r="K1" s="60">
        <v>10</v>
      </c>
      <c r="L1" s="60">
        <v>11</v>
      </c>
      <c r="M1" s="60">
        <v>12</v>
      </c>
      <c r="N1" s="60">
        <v>13</v>
      </c>
    </row>
    <row r="2" spans="1:14" ht="39.75" customHeight="1" thickBot="1" x14ac:dyDescent="0.3">
      <c r="A2" s="60">
        <v>39</v>
      </c>
      <c r="B2" s="118" t="s">
        <v>288</v>
      </c>
      <c r="C2" s="119"/>
      <c r="D2" s="119"/>
      <c r="E2" s="119"/>
      <c r="F2" s="119"/>
      <c r="G2" s="119"/>
      <c r="H2" s="119"/>
      <c r="I2" s="119"/>
      <c r="J2" s="119"/>
      <c r="K2" s="119"/>
      <c r="L2" s="119"/>
      <c r="M2" s="119"/>
      <c r="N2" s="60">
        <v>14</v>
      </c>
    </row>
    <row r="3" spans="1:14" ht="39.75" customHeight="1" thickBot="1" x14ac:dyDescent="0.3">
      <c r="A3" s="60">
        <v>38</v>
      </c>
      <c r="B3" s="120"/>
      <c r="C3" s="121"/>
      <c r="D3" s="121"/>
      <c r="E3" s="121"/>
      <c r="F3" s="121"/>
      <c r="G3" s="121"/>
      <c r="H3" s="121"/>
      <c r="I3" s="121"/>
      <c r="J3" s="121"/>
      <c r="K3" s="121"/>
      <c r="L3" s="121"/>
      <c r="M3" s="121"/>
      <c r="N3" s="60">
        <v>15</v>
      </c>
    </row>
    <row r="4" spans="1:14" ht="39.75" customHeight="1" thickBot="1" x14ac:dyDescent="0.3">
      <c r="A4" s="60">
        <v>37</v>
      </c>
      <c r="B4" s="116" t="s">
        <v>289</v>
      </c>
      <c r="C4" s="117"/>
      <c r="D4" s="117"/>
      <c r="E4" s="117"/>
      <c r="F4" s="117"/>
      <c r="G4" s="117"/>
      <c r="H4" s="117"/>
      <c r="I4" s="117"/>
      <c r="J4" s="117"/>
      <c r="K4" s="117"/>
      <c r="L4" s="117"/>
      <c r="M4" s="117"/>
      <c r="N4" s="60">
        <v>16</v>
      </c>
    </row>
    <row r="5" spans="1:14" ht="39.75" customHeight="1" thickBot="1" x14ac:dyDescent="0.3">
      <c r="A5" s="60">
        <v>36</v>
      </c>
      <c r="B5" s="122" t="s">
        <v>290</v>
      </c>
      <c r="C5" s="123"/>
      <c r="D5" s="126" t="s">
        <v>290</v>
      </c>
      <c r="E5" s="127"/>
      <c r="F5" s="126" t="s">
        <v>290</v>
      </c>
      <c r="G5" s="127"/>
      <c r="H5" s="126" t="s">
        <v>290</v>
      </c>
      <c r="I5" s="127"/>
      <c r="J5" s="126" t="s">
        <v>290</v>
      </c>
      <c r="K5" s="127"/>
      <c r="L5" s="126" t="s">
        <v>290</v>
      </c>
      <c r="M5" s="130"/>
      <c r="N5" s="60">
        <v>17</v>
      </c>
    </row>
    <row r="6" spans="1:14" ht="39.75" customHeight="1" thickBot="1" x14ac:dyDescent="0.3">
      <c r="A6" s="60">
        <v>35</v>
      </c>
      <c r="B6" s="122"/>
      <c r="C6" s="123"/>
      <c r="D6" s="122"/>
      <c r="E6" s="128"/>
      <c r="F6" s="122"/>
      <c r="G6" s="128"/>
      <c r="H6" s="122"/>
      <c r="I6" s="128"/>
      <c r="J6" s="122"/>
      <c r="K6" s="128"/>
      <c r="L6" s="122"/>
      <c r="M6" s="123"/>
      <c r="N6" s="60">
        <v>18</v>
      </c>
    </row>
    <row r="7" spans="1:14" ht="39.75" customHeight="1" thickBot="1" x14ac:dyDescent="0.3">
      <c r="A7" s="60">
        <v>34</v>
      </c>
      <c r="B7" s="124"/>
      <c r="C7" s="125"/>
      <c r="D7" s="124"/>
      <c r="E7" s="129"/>
      <c r="F7" s="124"/>
      <c r="G7" s="129"/>
      <c r="H7" s="124"/>
      <c r="I7" s="129"/>
      <c r="J7" s="124"/>
      <c r="K7" s="129"/>
      <c r="L7" s="124"/>
      <c r="M7" s="125"/>
      <c r="N7" s="60">
        <v>19</v>
      </c>
    </row>
    <row r="8" spans="1:14" ht="39.75" customHeight="1" thickBot="1" x14ac:dyDescent="0.3">
      <c r="A8" s="60">
        <v>33</v>
      </c>
      <c r="B8" s="60">
        <v>32</v>
      </c>
      <c r="C8" s="60">
        <v>31</v>
      </c>
      <c r="D8" s="60">
        <v>30</v>
      </c>
      <c r="E8" s="60">
        <v>29</v>
      </c>
      <c r="F8" s="60">
        <v>28</v>
      </c>
      <c r="G8" s="60">
        <v>27</v>
      </c>
      <c r="H8" s="60">
        <v>26</v>
      </c>
      <c r="I8" s="60">
        <v>25</v>
      </c>
      <c r="J8" s="60">
        <v>24</v>
      </c>
      <c r="K8" s="60">
        <v>23</v>
      </c>
      <c r="L8" s="60">
        <v>22</v>
      </c>
      <c r="M8" s="58">
        <v>21</v>
      </c>
      <c r="N8" s="59">
        <v>20</v>
      </c>
    </row>
  </sheetData>
  <mergeCells count="8">
    <mergeCell ref="B4:M4"/>
    <mergeCell ref="B2:M3"/>
    <mergeCell ref="B5:C7"/>
    <mergeCell ref="D5:E7"/>
    <mergeCell ref="F5:G7"/>
    <mergeCell ref="H5:I7"/>
    <mergeCell ref="J5:K7"/>
    <mergeCell ref="L5:M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BI6"/>
  <sheetViews>
    <sheetView topLeftCell="AA1" zoomScaleNormal="60" zoomScaleSheetLayoutView="100" workbookViewId="0">
      <selection activeCell="F14" sqref="F14"/>
    </sheetView>
  </sheetViews>
  <sheetFormatPr defaultColWidth="19.7109375" defaultRowHeight="15" customHeight="1" x14ac:dyDescent="0.25"/>
  <cols>
    <col min="1" max="1" width="19.7109375" style="63"/>
    <col min="2" max="2" width="19.7109375" style="76"/>
    <col min="4" max="4" width="19.7109375" style="63"/>
    <col min="6" max="6" width="19.7109375" style="63"/>
    <col min="8" max="8" width="19.7109375" style="63"/>
    <col min="10" max="10" width="19.7109375" style="63"/>
    <col min="12" max="12" width="19.7109375" style="63"/>
    <col min="14" max="14" width="19.7109375" style="63"/>
    <col min="16" max="16" width="19.7109375" style="63"/>
    <col min="18" max="18" width="19.7109375" style="63"/>
    <col min="20" max="20" width="19.7109375" style="63"/>
    <col min="22" max="22" width="19.7109375" style="63"/>
    <col min="24" max="24" width="19.7109375" style="63"/>
    <col min="26" max="26" width="19.7109375" style="63"/>
    <col min="28" max="28" width="19.7109375" style="63"/>
    <col min="30" max="30" width="19.7109375" style="82"/>
    <col min="31" max="32" width="19.7109375" style="63" bestFit="1" customWidth="1"/>
    <col min="33" max="33" width="19.7109375" bestFit="1" customWidth="1"/>
    <col min="34" max="34" width="19.7109375" style="63" bestFit="1" customWidth="1"/>
    <col min="35" max="35" width="19.7109375" bestFit="1" customWidth="1"/>
    <col min="36" max="36" width="19.7109375" style="63" bestFit="1" customWidth="1"/>
    <col min="37" max="37" width="19.7109375" bestFit="1" customWidth="1"/>
    <col min="38" max="38" width="19.7109375" style="63" bestFit="1" customWidth="1"/>
    <col min="39" max="39" width="19.7109375" bestFit="1" customWidth="1"/>
    <col min="40" max="40" width="19.7109375" style="63" bestFit="1" customWidth="1"/>
    <col min="41" max="41" width="19.7109375" customWidth="1"/>
    <col min="42" max="42" width="19.7109375" style="63" bestFit="1" customWidth="1"/>
    <col min="43" max="43" width="19.7109375" bestFit="1" customWidth="1"/>
    <col min="44" max="44" width="19.7109375" style="63" bestFit="1" customWidth="1"/>
    <col min="45" max="45" width="19.7109375" bestFit="1" customWidth="1"/>
    <col min="46" max="46" width="19.7109375" style="63" bestFit="1" customWidth="1"/>
    <col min="47" max="47" width="19.7109375" bestFit="1" customWidth="1"/>
    <col min="48" max="48" width="19.7109375" style="63" bestFit="1" customWidth="1"/>
    <col min="49" max="49" width="19.7109375" bestFit="1" customWidth="1"/>
    <col min="50" max="50" width="19.7109375" style="82" bestFit="1" customWidth="1"/>
    <col min="51" max="51" width="19.7109375" style="63" bestFit="1" customWidth="1"/>
    <col min="52" max="52" width="19.7109375" bestFit="1" customWidth="1"/>
    <col min="53" max="53" width="19.7109375" style="63" bestFit="1" customWidth="1"/>
    <col min="54" max="54" width="19.7109375" bestFit="1" customWidth="1"/>
    <col min="55" max="55" width="19.7109375" style="63" bestFit="1" customWidth="1"/>
    <col min="56" max="56" width="19.7109375" bestFit="1" customWidth="1"/>
    <col min="57" max="57" width="19.7109375" style="63" bestFit="1" customWidth="1"/>
    <col min="58" max="58" width="19.7109375" bestFit="1" customWidth="1"/>
    <col min="59" max="59" width="19.7109375" style="63" bestFit="1" customWidth="1"/>
    <col min="60" max="60" width="19.7109375" style="82" bestFit="1" customWidth="1"/>
    <col min="61" max="61" width="19.7109375" style="63"/>
  </cols>
  <sheetData>
    <row r="1" spans="1:61" s="80" customFormat="1" ht="39.950000000000003" customHeight="1" x14ac:dyDescent="0.25">
      <c r="A1" s="78" t="str">
        <f>Cards!B2</f>
        <v>Fillibuster</v>
      </c>
      <c r="B1" s="79" t="str">
        <f>Cards!B3</f>
        <v>Skillful Orators</v>
      </c>
      <c r="C1" s="80" t="str">
        <f>Cards!B4</f>
        <v>Collection Stations</v>
      </c>
      <c r="D1" s="78" t="str">
        <f>Cards!B5</f>
        <v>Brown Nose</v>
      </c>
      <c r="E1" s="80" t="str">
        <f>Cards!B6</f>
        <v>Mysterious Windfalls</v>
      </c>
      <c r="F1" s="78" t="str">
        <f>Cards!B7</f>
        <v>Lobbyists</v>
      </c>
      <c r="G1" s="80" t="str">
        <f>Cards!B8</f>
        <v>Eager Youth</v>
      </c>
      <c r="H1" s="78" t="str">
        <f>Cards!B9</f>
        <v>Honorable Cause</v>
      </c>
      <c r="I1" s="80" t="str">
        <f>Cards!B10</f>
        <v>Loyal Citizenry</v>
      </c>
      <c r="J1" s="78" t="str">
        <f>Cards!B11</f>
        <v>Silvertounge</v>
      </c>
      <c r="K1" s="80" t="str">
        <f>Cards!B12</f>
        <v>Royal Bribes</v>
      </c>
      <c r="L1" s="78" t="str">
        <f>Cards!B13</f>
        <v>Courtroom Gambling</v>
      </c>
      <c r="M1" s="80" t="str">
        <f>Cards!B14</f>
        <v>Market Niche</v>
      </c>
      <c r="N1" s="78" t="str">
        <f>Cards!B15</f>
        <v>Genius Commanders</v>
      </c>
      <c r="O1" s="80" t="str">
        <f>Cards!B16</f>
        <v>Damage Redemption</v>
      </c>
      <c r="P1" s="78" t="str">
        <f>Cards!B17</f>
        <v>Undeniable Advisors</v>
      </c>
      <c r="Q1" s="80" t="str">
        <f>Cards!B18</f>
        <v>Heavy Overtime</v>
      </c>
      <c r="R1" s="78" t="str">
        <f>Cards!B19</f>
        <v>Bulk Purchaser</v>
      </c>
      <c r="S1" s="80" t="str">
        <f>Cards!B20</f>
        <v>Valuable Cargo</v>
      </c>
      <c r="T1" s="78" t="str">
        <f>Cards!B21</f>
        <v>Elite Troops</v>
      </c>
      <c r="U1" s="80" t="str">
        <f>Cards!B22</f>
        <v>Bazaar</v>
      </c>
      <c r="V1" s="78" t="str">
        <f>Cards!B23</f>
        <v>Caravansaray</v>
      </c>
      <c r="W1" s="80" t="str">
        <f>Cards!B24</f>
        <v>War Machines</v>
      </c>
      <c r="X1" s="78" t="str">
        <f>Cards!B25</f>
        <v>Mock Trials</v>
      </c>
      <c r="Y1" s="80" t="str">
        <f>Cards!B26</f>
        <v>Desperate Attorneys</v>
      </c>
      <c r="Z1" s="78" t="str">
        <f>Cards!B27</f>
        <v>Eager Laborers</v>
      </c>
      <c r="AA1" s="80" t="str">
        <f>Cards!B28</f>
        <v>Wary Guards</v>
      </c>
      <c r="AB1" s="78" t="str">
        <f>Cards!B29</f>
        <v>Information Security</v>
      </c>
      <c r="AC1" s="80" t="str">
        <f>Cards!B30</f>
        <v>Blood Pact</v>
      </c>
      <c r="AD1" s="81" t="str">
        <f>Cards!B31</f>
        <v>Expert Broker</v>
      </c>
      <c r="AE1" s="78" t="str">
        <f>Cards!B32</f>
        <v>Codependent Relationship</v>
      </c>
      <c r="AF1" s="78" t="str">
        <f>Cards!B33</f>
        <v>Dangerous Promises</v>
      </c>
      <c r="AG1" s="80" t="str">
        <f>Cards!B34</f>
        <v>Large Middle Class</v>
      </c>
      <c r="AH1" s="78" t="str">
        <f>Cards!B35</f>
        <v>Innovation Hub</v>
      </c>
      <c r="AI1" s="80" t="str">
        <f>Cards!B36</f>
        <v>Fire Temple</v>
      </c>
      <c r="AJ1" s="78" t="str">
        <f t="shared" ref="AJ1:AS2" si="0">A1</f>
        <v>Fillibuster</v>
      </c>
      <c r="AK1" s="80" t="str">
        <f t="shared" si="0"/>
        <v>Skillful Orators</v>
      </c>
      <c r="AL1" s="78" t="str">
        <f t="shared" si="0"/>
        <v>Collection Stations</v>
      </c>
      <c r="AM1" s="80" t="str">
        <f t="shared" si="0"/>
        <v>Brown Nose</v>
      </c>
      <c r="AN1" s="78" t="str">
        <f t="shared" si="0"/>
        <v>Mysterious Windfalls</v>
      </c>
      <c r="AO1" s="80" t="str">
        <f t="shared" si="0"/>
        <v>Lobbyists</v>
      </c>
      <c r="AP1" s="78" t="str">
        <f t="shared" si="0"/>
        <v>Eager Youth</v>
      </c>
      <c r="AQ1" s="80" t="str">
        <f t="shared" si="0"/>
        <v>Honorable Cause</v>
      </c>
      <c r="AR1" s="78" t="str">
        <f t="shared" si="0"/>
        <v>Loyal Citizenry</v>
      </c>
      <c r="AS1" s="80" t="str">
        <f t="shared" si="0"/>
        <v>Silvertounge</v>
      </c>
      <c r="AT1" s="78" t="str">
        <f t="shared" ref="AT1:BC2" si="1">K1</f>
        <v>Royal Bribes</v>
      </c>
      <c r="AU1" s="80" t="str">
        <f t="shared" si="1"/>
        <v>Courtroom Gambling</v>
      </c>
      <c r="AV1" s="78" t="str">
        <f t="shared" si="1"/>
        <v>Market Niche</v>
      </c>
      <c r="AW1" s="80" t="str">
        <f t="shared" si="1"/>
        <v>Genius Commanders</v>
      </c>
      <c r="AX1" s="81" t="str">
        <f t="shared" si="1"/>
        <v>Damage Redemption</v>
      </c>
      <c r="AY1" s="78" t="str">
        <f t="shared" si="1"/>
        <v>Undeniable Advisors</v>
      </c>
      <c r="AZ1" s="80" t="str">
        <f t="shared" si="1"/>
        <v>Heavy Overtime</v>
      </c>
      <c r="BA1" s="78" t="str">
        <f t="shared" si="1"/>
        <v>Bulk Purchaser</v>
      </c>
      <c r="BB1" s="80" t="str">
        <f t="shared" si="1"/>
        <v>Valuable Cargo</v>
      </c>
      <c r="BC1" s="78" t="str">
        <f t="shared" si="1"/>
        <v>Elite Troops</v>
      </c>
      <c r="BD1" s="80" t="str">
        <f t="shared" ref="BD1:BI2" si="2">U1</f>
        <v>Bazaar</v>
      </c>
      <c r="BE1" s="78" t="str">
        <f t="shared" si="2"/>
        <v>Caravansaray</v>
      </c>
      <c r="BF1" s="80" t="str">
        <f t="shared" si="2"/>
        <v>War Machines</v>
      </c>
      <c r="BG1" s="78" t="str">
        <f t="shared" si="2"/>
        <v>Mock Trials</v>
      </c>
      <c r="BH1" s="81" t="str">
        <f t="shared" si="2"/>
        <v>Desperate Attorneys</v>
      </c>
      <c r="BI1" s="78" t="str">
        <f t="shared" si="2"/>
        <v>Eager Laborers</v>
      </c>
    </row>
    <row r="2" spans="1:61" s="103" customFormat="1" ht="102" customHeight="1" thickBot="1" x14ac:dyDescent="0.3">
      <c r="A2" s="104" t="str">
        <f>Cards!C2</f>
        <v>Move the deliberated Law $L6 additional places back in the queue during Postpone</v>
      </c>
      <c r="B2" s="104" t="str">
        <f>Cards!C3</f>
        <v>Move the Law $L6 additional places forward in the queue during Prioritize</v>
      </c>
      <c r="C2" s="103" t="str">
        <f>Cards!C4</f>
        <v xml:space="preserve">You may gain up to $L6 additional Coins when Taxing other Players </v>
      </c>
      <c r="D2" s="104" t="str">
        <f>Cards!C5</f>
        <v>Gain $L3 additional Coins during Flatter</v>
      </c>
      <c r="E2" s="103" t="str">
        <f>Cards!C6</f>
        <v>Gain $L3 more Commodities per Coin when Buying from the Undermarket</v>
      </c>
      <c r="F2" s="104" t="str">
        <f>Cards!C7</f>
        <v>Add $L3 additional Law cards to the bottom of the queue during Petition</v>
      </c>
      <c r="G2" s="103" t="str">
        <f>Cards!C8</f>
        <v>Gain 1 additional Troop for free after Recruiting every 4 - $L3 Troops</v>
      </c>
      <c r="H2" s="104" t="str">
        <f>Cards!C9</f>
        <v>Gain 1 additional Spy for free after Infiltrating every 4 - $L3 Spies</v>
      </c>
      <c r="I2" s="104" t="str">
        <f>Cards!C10</f>
        <v>Purchase up to $L6 additional Troops during Recruit</v>
      </c>
      <c r="J2" s="104" t="str">
        <f>Cards!C11</f>
        <v>Purchase up to $L6 additional Spies during Infiltrate (at normal cost)</v>
      </c>
      <c r="K2" s="103" t="str">
        <f>Cards!C12</f>
        <v>Gain $L3 more Commodities per Coin when Buying from the Court</v>
      </c>
      <c r="L2" s="104" t="str">
        <f>Cards!C13</f>
        <v>Gain $L3 additional Coins from outside the Royal Bank when winning a Sue</v>
      </c>
      <c r="M2" s="103" t="str">
        <f>Cards!C14</f>
        <v>Spend $L3 fewer Cards per Coin when Monetizing in the Undermarket</v>
      </c>
      <c r="N2" s="104" t="str">
        <f>Cards!C15</f>
        <v>Draw $L6 additional cards from any decks during Brainstorm</v>
      </c>
      <c r="O2" s="103" t="str">
        <f>Cards!C16</f>
        <v>Purchase $L3 Spies (at normal cost) when targeted by a Scheme</v>
      </c>
      <c r="P2" s="104" t="str">
        <f>Cards!C17</f>
        <v>You may repeat Court Actions with level 7 - $L6 Leaders</v>
      </c>
      <c r="Q2" s="103" t="str">
        <f>Cards!C18</f>
        <v>You may repeat $L3 Provincial Actions per round</v>
      </c>
      <c r="R2" s="104" t="str">
        <f>Cards!C19</f>
        <v>Trade up to $L3 additional Coins when Buying from the Court</v>
      </c>
      <c r="S2" s="103" t="str">
        <f>Cards!C20</f>
        <v>Trade for up to $L3 additional Coins when Selling to the Court</v>
      </c>
      <c r="T2" s="104" t="str">
        <f>Cards!C21</f>
        <v>Gain $L3 additional Coins from the Royal Bank when Deploying Troops</v>
      </c>
      <c r="U2" s="103" t="str">
        <f>Cards!C22</f>
        <v>Provides private Buy Action at Market Rate + $L3</v>
      </c>
      <c r="V2" s="104" t="str">
        <f>Cards!C23</f>
        <v>Provides private Sell Action at Market Rate - $L3</v>
      </c>
      <c r="W2" s="103" t="str">
        <f>Cards!C24</f>
        <v>Purchase and immediately add up to $L3 Troops to your force when deploying them</v>
      </c>
      <c r="X2" s="104" t="str">
        <f>Cards!C25</f>
        <v>Add $L3 Hits to each Roll during a Sue</v>
      </c>
      <c r="Y2" s="103" t="str">
        <f>Cards!C26</f>
        <v>Add $L6 additional dice to each Roll during a Sue</v>
      </c>
      <c r="Z2" s="104" t="str">
        <f>Cards!C27</f>
        <v>Collect $L6 additional Commodities during Harvests</v>
      </c>
      <c r="AA2" s="103" t="str">
        <f>Cards!C28</f>
        <v>Subtract $L3 from Scheme Guard rolls</v>
      </c>
      <c r="AB2" s="104" t="str">
        <f>Cards!C29</f>
        <v>Subtract $L3 from Scheme Card rolls</v>
      </c>
      <c r="AC2" s="103" t="str">
        <f>Cards!C30</f>
        <v>Spend $L3 fewer Commodities per Coin when Selling to the Undermarket</v>
      </c>
      <c r="AD2" s="105" t="str">
        <f>Cards!C31</f>
        <v>Spend $L3 fewer Commodities per Coin when Selling to the Court</v>
      </c>
      <c r="AE2" s="104" t="str">
        <f>Cards!C32</f>
        <v>Trade up to $L3 additional Coins when Buying from the Undermarket</v>
      </c>
      <c r="AF2" s="104" t="str">
        <f>Cards!C33</f>
        <v>Trade for up to $L3 additional Coins when Selling to the Undermarket</v>
      </c>
      <c r="AG2" s="103" t="str">
        <f>Cards!C34</f>
        <v>Trade for up to $L3 additional Coins when Monetizing in the Undermarket</v>
      </c>
      <c r="AH2" s="104" t="str">
        <f>Cards!C35</f>
        <v>Provides private Monetize Action at Market Rate + $L3</v>
      </c>
      <c r="AI2" s="103" t="str">
        <f>Cards!C36</f>
        <v>Spend $L3 fewer Cards per Coin when Monetizing in the Court</v>
      </c>
      <c r="AJ2" s="104" t="str">
        <f t="shared" si="0"/>
        <v>Move the deliberated Law $L6 additional places back in the queue during Postpone</v>
      </c>
      <c r="AK2" s="103" t="str">
        <f t="shared" si="0"/>
        <v>Move the Law $L6 additional places forward in the queue during Prioritize</v>
      </c>
      <c r="AL2" s="104" t="str">
        <f t="shared" si="0"/>
        <v xml:space="preserve">You may gain up to $L6 additional Coins when Taxing other Players </v>
      </c>
      <c r="AM2" s="103" t="str">
        <f t="shared" si="0"/>
        <v>Gain $L3 additional Coins during Flatter</v>
      </c>
      <c r="AN2" s="104" t="str">
        <f t="shared" si="0"/>
        <v>Gain $L3 more Commodities per Coin when Buying from the Undermarket</v>
      </c>
      <c r="AO2" s="103" t="str">
        <f t="shared" si="0"/>
        <v>Add $L3 additional Law cards to the bottom of the queue during Petition</v>
      </c>
      <c r="AP2" s="104" t="str">
        <f t="shared" si="0"/>
        <v>Gain 1 additional Troop for free after Recruiting every 4 - $L3 Troops</v>
      </c>
      <c r="AQ2" s="103" t="str">
        <f t="shared" si="0"/>
        <v>Gain 1 additional Spy for free after Infiltrating every 4 - $L3 Spies</v>
      </c>
      <c r="AR2" s="104" t="str">
        <f t="shared" si="0"/>
        <v>Purchase up to $L6 additional Troops during Recruit</v>
      </c>
      <c r="AS2" s="103" t="str">
        <f t="shared" si="0"/>
        <v>Purchase up to $L6 additional Spies during Infiltrate (at normal cost)</v>
      </c>
      <c r="AT2" s="104" t="str">
        <f t="shared" si="1"/>
        <v>Gain $L3 more Commodities per Coin when Buying from the Court</v>
      </c>
      <c r="AU2" s="103" t="str">
        <f t="shared" si="1"/>
        <v>Gain $L3 additional Coins from outside the Royal Bank when winning a Sue</v>
      </c>
      <c r="AV2" s="104" t="str">
        <f t="shared" si="1"/>
        <v>Spend $L3 fewer Cards per Coin when Monetizing in the Undermarket</v>
      </c>
      <c r="AW2" s="103" t="str">
        <f t="shared" si="1"/>
        <v>Draw $L6 additional cards from any decks during Brainstorm</v>
      </c>
      <c r="AX2" s="105" t="str">
        <f t="shared" si="1"/>
        <v>Purchase $L3 Spies (at normal cost) when targeted by a Scheme</v>
      </c>
      <c r="AY2" s="104" t="str">
        <f t="shared" si="1"/>
        <v>You may repeat Court Actions with level 7 - $L6 Leaders</v>
      </c>
      <c r="AZ2" s="103" t="str">
        <f t="shared" si="1"/>
        <v>You may repeat $L3 Provincial Actions per round</v>
      </c>
      <c r="BA2" s="104" t="str">
        <f t="shared" si="1"/>
        <v>Trade up to $L3 additional Coins when Buying from the Court</v>
      </c>
      <c r="BB2" s="103" t="str">
        <f t="shared" si="1"/>
        <v>Trade for up to $L3 additional Coins when Selling to the Court</v>
      </c>
      <c r="BC2" s="104" t="str">
        <f t="shared" si="1"/>
        <v>Gain $L3 additional Coins from the Royal Bank when Deploying Troops</v>
      </c>
      <c r="BD2" s="103" t="str">
        <f t="shared" si="2"/>
        <v>Provides private Buy Action at Market Rate + $L3</v>
      </c>
      <c r="BE2" s="104" t="str">
        <f t="shared" si="2"/>
        <v>Provides private Sell Action at Market Rate - $L3</v>
      </c>
      <c r="BF2" s="103" t="str">
        <f t="shared" si="2"/>
        <v>Purchase and immediately add up to $L3 Troops to your force when deploying them</v>
      </c>
      <c r="BG2" s="104" t="str">
        <f t="shared" si="2"/>
        <v>Add $L3 Hits to each Roll during a Sue</v>
      </c>
      <c r="BH2" s="105" t="str">
        <f t="shared" si="2"/>
        <v>Add $L6 additional dice to each Roll during a Sue</v>
      </c>
      <c r="BI2" s="104" t="str">
        <f t="shared" si="2"/>
        <v>Collect $L6 additional Commodities during Harvests</v>
      </c>
    </row>
    <row r="3" spans="1:61" s="80" customFormat="1" ht="39.950000000000003" customHeight="1" x14ac:dyDescent="0.25">
      <c r="A3" s="78" t="str">
        <f>Cards!D2</f>
        <v>Full Coffers</v>
      </c>
      <c r="B3" s="79" t="str">
        <f>Cards!D3</f>
        <v xml:space="preserve">Decentralized Wealth </v>
      </c>
      <c r="C3" s="80" t="str">
        <f>Cards!D4</f>
        <v>Second Thoughts</v>
      </c>
      <c r="D3" s="78" t="str">
        <f>Cards!D5</f>
        <v>Changing Times</v>
      </c>
      <c r="E3" s="80" t="str">
        <f>Cards!D6</f>
        <v>Stable Economies</v>
      </c>
      <c r="F3" s="78" t="str">
        <f>Cards!D7</f>
        <v>Unreasonable Distractions</v>
      </c>
      <c r="G3" s="80" t="str">
        <f>Cards!D8</f>
        <v>Irregular Partiality</v>
      </c>
      <c r="H3" s="78" t="str">
        <f>Cards!D9</f>
        <v>Royal Amendment</v>
      </c>
      <c r="I3" s="80" t="str">
        <f>Cards!D10</f>
        <v>Honorable Accontability</v>
      </c>
      <c r="J3" s="78" t="str">
        <f>Cards!D11</f>
        <v>Frivolous Pursuits</v>
      </c>
      <c r="K3" s="80" t="str">
        <f>Cards!D12</f>
        <v>Economic Backbone</v>
      </c>
      <c r="L3" s="78" t="str">
        <f>Cards!D13</f>
        <v>Collective Ownership</v>
      </c>
      <c r="M3" s="80" t="str">
        <f>Cards!D14</f>
        <v>Aggressive Tactics</v>
      </c>
      <c r="N3" s="78" t="str">
        <f>Cards!D15</f>
        <v>Home Defense</v>
      </c>
      <c r="O3" s="80" t="str">
        <f>Cards!D16</f>
        <v>Valuable Advisors</v>
      </c>
      <c r="P3" s="78" t="str">
        <f>Cards!D17</f>
        <v>Chattering Windbags</v>
      </c>
      <c r="Q3" s="80" t="str">
        <f>Cards!D18</f>
        <v>Realistic Priorities</v>
      </c>
      <c r="R3" s="78" t="str">
        <f>Cards!D19</f>
        <v>Threat to the Throne</v>
      </c>
      <c r="S3" s="80" t="str">
        <f>Cards!D20</f>
        <v>Stone Foundations</v>
      </c>
      <c r="T3" s="78" t="str">
        <f>Cards!D21</f>
        <v>Environmental Guardians</v>
      </c>
      <c r="U3" s="80" t="str">
        <f>Cards!D22</f>
        <v>Resilient Officer Corps</v>
      </c>
      <c r="V3" s="78" t="str">
        <f>Cards!D23</f>
        <v>Bloated Bureaucracy</v>
      </c>
      <c r="W3" s="80" t="str">
        <f>Cards!D24</f>
        <v>Police Force</v>
      </c>
      <c r="X3" s="78" t="str">
        <f>Cards!D25</f>
        <v>Equal Partners</v>
      </c>
      <c r="Y3" s="80" t="str">
        <f>Cards!D26</f>
        <v>Criminal Identification</v>
      </c>
      <c r="Z3" s="78" t="str">
        <f>Cards!D27</f>
        <v>Honorable Marketplace</v>
      </c>
      <c r="AA3" s="80" t="str">
        <f>Cards!D28</f>
        <v>Engaged Empire</v>
      </c>
      <c r="AB3" s="78" t="str">
        <f>Cards!D29</f>
        <v>Suspicious Advisors</v>
      </c>
      <c r="AC3" s="80" t="str">
        <f>Cards!D30</f>
        <v>Contingency Plans</v>
      </c>
      <c r="AD3" s="81" t="str">
        <f>Cards!D31</f>
        <v>Worthless Procrastinators</v>
      </c>
      <c r="AE3" s="78" t="str">
        <f t="shared" ref="AE3:BH3" si="3">A3</f>
        <v>Full Coffers</v>
      </c>
      <c r="AF3" s="78" t="str">
        <f t="shared" si="3"/>
        <v xml:space="preserve">Decentralized Wealth </v>
      </c>
      <c r="AG3" s="80" t="str">
        <f t="shared" si="3"/>
        <v>Second Thoughts</v>
      </c>
      <c r="AH3" s="78" t="str">
        <f t="shared" si="3"/>
        <v>Changing Times</v>
      </c>
      <c r="AI3" s="80" t="str">
        <f t="shared" si="3"/>
        <v>Stable Economies</v>
      </c>
      <c r="AJ3" s="78" t="str">
        <f t="shared" si="3"/>
        <v>Unreasonable Distractions</v>
      </c>
      <c r="AK3" s="80" t="str">
        <f t="shared" si="3"/>
        <v>Irregular Partiality</v>
      </c>
      <c r="AL3" s="78" t="str">
        <f t="shared" si="3"/>
        <v>Royal Amendment</v>
      </c>
      <c r="AM3" s="80" t="str">
        <f t="shared" si="3"/>
        <v>Honorable Accontability</v>
      </c>
      <c r="AN3" s="78" t="str">
        <f t="shared" si="3"/>
        <v>Frivolous Pursuits</v>
      </c>
      <c r="AO3" s="80" t="str">
        <f t="shared" si="3"/>
        <v>Economic Backbone</v>
      </c>
      <c r="AP3" s="78" t="str">
        <f t="shared" si="3"/>
        <v>Collective Ownership</v>
      </c>
      <c r="AQ3" s="80" t="str">
        <f t="shared" si="3"/>
        <v>Aggressive Tactics</v>
      </c>
      <c r="AR3" s="78" t="str">
        <f t="shared" si="3"/>
        <v>Home Defense</v>
      </c>
      <c r="AS3" s="80" t="str">
        <f t="shared" si="3"/>
        <v>Valuable Advisors</v>
      </c>
      <c r="AT3" s="78" t="str">
        <f t="shared" si="3"/>
        <v>Chattering Windbags</v>
      </c>
      <c r="AU3" s="80" t="str">
        <f t="shared" si="3"/>
        <v>Realistic Priorities</v>
      </c>
      <c r="AV3" s="78" t="str">
        <f t="shared" si="3"/>
        <v>Threat to the Throne</v>
      </c>
      <c r="AW3" s="80" t="str">
        <f t="shared" si="3"/>
        <v>Stone Foundations</v>
      </c>
      <c r="AX3" s="81" t="str">
        <f t="shared" si="3"/>
        <v>Environmental Guardians</v>
      </c>
      <c r="AY3" s="78" t="str">
        <f t="shared" si="3"/>
        <v>Resilient Officer Corps</v>
      </c>
      <c r="AZ3" s="80" t="str">
        <f t="shared" si="3"/>
        <v>Bloated Bureaucracy</v>
      </c>
      <c r="BA3" s="78" t="str">
        <f t="shared" si="3"/>
        <v>Police Force</v>
      </c>
      <c r="BB3" s="80" t="str">
        <f t="shared" si="3"/>
        <v>Equal Partners</v>
      </c>
      <c r="BC3" s="78" t="str">
        <f t="shared" si="3"/>
        <v>Criminal Identification</v>
      </c>
      <c r="BD3" s="80" t="str">
        <f t="shared" si="3"/>
        <v>Honorable Marketplace</v>
      </c>
      <c r="BE3" s="78" t="str">
        <f t="shared" si="3"/>
        <v>Engaged Empire</v>
      </c>
      <c r="BF3" s="80" t="str">
        <f t="shared" si="3"/>
        <v>Suspicious Advisors</v>
      </c>
      <c r="BG3" s="78" t="str">
        <f t="shared" si="3"/>
        <v>Contingency Plans</v>
      </c>
      <c r="BH3" s="81" t="str">
        <f t="shared" si="3"/>
        <v>Worthless Procrastinators</v>
      </c>
      <c r="BI3" s="78"/>
    </row>
    <row r="4" spans="1:61" s="85" customFormat="1" ht="102" customHeight="1" thickBot="1" x14ac:dyDescent="0.3">
      <c r="A4" s="83" t="str">
        <f>Cards!E2</f>
        <v>The Royal Bank must have at least $L6 Coins or all Players suffer sanctions on Undermarket Actions</v>
      </c>
      <c r="B4" s="84" t="str">
        <f>Cards!E3</f>
        <v>The Royal Bank may not have more than $L6 Coins or all Players suffer sanctions on Undermarket Actions</v>
      </c>
      <c r="C4" s="85" t="str">
        <f>Cards!E4</f>
        <v>Change the boundary of an active Law to $L6</v>
      </c>
      <c r="D4" s="83" t="str">
        <f>Cards!E5</f>
        <v>Change the boundary of an active Law to $L6</v>
      </c>
      <c r="E4" s="85" t="str">
        <f>Cards!E6</f>
        <v>Each Player must have at least 3 + $L6 Investments or they will suffer sanctions on Promote &amp; Commission</v>
      </c>
      <c r="F4" s="83" t="str">
        <f>Cards!E7</f>
        <v>No Player may have more than 3 + $L6 Investments or they will suffer sanctions on Promote &amp; Commission</v>
      </c>
      <c r="G4" s="85" t="str">
        <f>Cards!E8</f>
        <v>Change the boundary of an active Law to $L6</v>
      </c>
      <c r="H4" s="83" t="str">
        <f>Cards!E9</f>
        <v>Change the boundary of an active Law to $L6</v>
      </c>
      <c r="I4" s="85" t="str">
        <f>Cards!E10</f>
        <v>Each Player must Sue using a Leader with at least level $L6 this round or they will suffer sanctions on Deploy Troops</v>
      </c>
      <c r="J4" s="83" t="str">
        <f>Cards!E11</f>
        <v>No Player may Sue using a Leader higher than level $L6 this round or they will suffer sanctions on Deploy Troops</v>
      </c>
      <c r="K4" s="85" t="str">
        <f>Cards!E12</f>
        <v>Each Player must have an Investment with at least level $L6 or they will suffer sanctions on Infiltrate</v>
      </c>
      <c r="L4" s="83" t="str">
        <f>Cards!E13</f>
        <v>No Player may have an Investment higher than level $L6 or they will suffer sanctions on Infiltrate</v>
      </c>
      <c r="M4" s="85" t="str">
        <f>Cards!E14</f>
        <v>Each Player must deploy at least $L6 Troops or they will suffer sanctions on Petition &amp; Postpone</v>
      </c>
      <c r="N4" s="83" t="str">
        <f>Cards!E15</f>
        <v>No Player may deploy more than $L6 Troops or they will suffer sanctions on Petition &amp; Postpone</v>
      </c>
      <c r="O4" s="85" t="str">
        <f>Cards!E16</f>
        <v>Each Player must have at least $L6 sponsored Laws active or in the queue or they will suffer sanctions on Tax</v>
      </c>
      <c r="P4" s="83" t="str">
        <f>Cards!E17</f>
        <v>No Player may have more than $L6 sponsored Laws active or in the queue or they will suffer sanctions on Tax</v>
      </c>
      <c r="Q4" s="85" t="str">
        <f>Cards!E18</f>
        <v>Each Player must have a Leader with at least level $L6 or they will suffer sanctions on Sue</v>
      </c>
      <c r="R4" s="83" t="str">
        <f>Cards!E19</f>
        <v>No Player may have a Leader higher than level $L6 or they will suffer sanctions on Sue</v>
      </c>
      <c r="S4" s="85" t="str">
        <f>Cards!E20</f>
        <v>Each Player must Harvest at least $L6 Commodities this round or they will suffer sanctions on Recruit</v>
      </c>
      <c r="T4" s="83" t="str">
        <f>Cards!E21</f>
        <v>No Player may Harvest more than $L6 Commodities this round or they will suffer sanctions on Recruit</v>
      </c>
      <c r="U4" s="85" t="str">
        <f>Cards!E22</f>
        <v>Each Player must have at least 3 + $L6 Leaders or they will suffer sanctions on Build &amp; Upgrade</v>
      </c>
      <c r="V4" s="83" t="str">
        <f>Cards!E23</f>
        <v>No Player may have more than $L6 Leaders or they will suffer sanctions on Build &amp; Upgrade</v>
      </c>
      <c r="W4" s="85" t="str">
        <f>Cards!E24</f>
        <v>Each Player must have at least $L6 Troops or they will suffer sanctions on Harvest</v>
      </c>
      <c r="X4" s="83" t="str">
        <f>Cards!E25</f>
        <v>No Player may have more than $L6 Troops or they will suffer sanctions on Harvest</v>
      </c>
      <c r="Y4" s="85" t="str">
        <f>Cards!E26</f>
        <v>At least $L6 Players must use Undermarket Actions or all Players suffer sanctions on Prioritize</v>
      </c>
      <c r="Z4" s="83" t="str">
        <f>Cards!E27</f>
        <v>No more than $L6 Players may use Undermarket Actions or all Players suffer sanctions on Prioritize</v>
      </c>
      <c r="AA4" s="85" t="str">
        <f>Cards!E28</f>
        <v>At least $L6 Players must use Court Actions or all Players suffer sanctions on Flatter</v>
      </c>
      <c r="AB4" s="83" t="str">
        <f>Cards!E29</f>
        <v>No more than $L6 Players may use Court Actions or all Players suffer sanctions on Flatter</v>
      </c>
      <c r="AC4" s="85" t="str">
        <f>Cards!E30</f>
        <v>Each Player must have at least $L6 Cards in hand or they will suffer sanctions on Monetize</v>
      </c>
      <c r="AD4" s="86" t="str">
        <f>Cards!E31</f>
        <v>No Player may have more than $L6 Cards in their hand or they will suffer sanctions on Monetize</v>
      </c>
      <c r="AE4" s="83" t="str">
        <f t="shared" ref="AE4" si="4">A4</f>
        <v>The Royal Bank must have at least $L6 Coins or all Players suffer sanctions on Undermarket Actions</v>
      </c>
      <c r="AF4" s="83" t="str">
        <f t="shared" ref="AF4" si="5">B4</f>
        <v>The Royal Bank may not have more than $L6 Coins or all Players suffer sanctions on Undermarket Actions</v>
      </c>
      <c r="AG4" s="85" t="str">
        <f t="shared" ref="AG4" si="6">C4</f>
        <v>Change the boundary of an active Law to $L6</v>
      </c>
      <c r="AH4" s="83" t="str">
        <f t="shared" ref="AH4" si="7">D4</f>
        <v>Change the boundary of an active Law to $L6</v>
      </c>
      <c r="AI4" s="85" t="str">
        <f t="shared" ref="AI4" si="8">E4</f>
        <v>Each Player must have at least 3 + $L6 Investments or they will suffer sanctions on Promote &amp; Commission</v>
      </c>
      <c r="AJ4" s="83" t="str">
        <f t="shared" ref="AJ4" si="9">F4</f>
        <v>No Player may have more than 3 + $L6 Investments or they will suffer sanctions on Promote &amp; Commission</v>
      </c>
      <c r="AK4" s="85" t="str">
        <f t="shared" ref="AK4" si="10">G4</f>
        <v>Change the boundary of an active Law to $L6</v>
      </c>
      <c r="AL4" s="83" t="str">
        <f t="shared" ref="AL4" si="11">H4</f>
        <v>Change the boundary of an active Law to $L6</v>
      </c>
      <c r="AM4" s="85" t="str">
        <f t="shared" ref="AM4" si="12">I4</f>
        <v>Each Player must Sue using a Leader with at least level $L6 this round or they will suffer sanctions on Deploy Troops</v>
      </c>
      <c r="AN4" s="83" t="str">
        <f t="shared" ref="AN4" si="13">J4</f>
        <v>No Player may Sue using a Leader higher than level $L6 this round or they will suffer sanctions on Deploy Troops</v>
      </c>
      <c r="AO4" s="85" t="str">
        <f t="shared" ref="AO4" si="14">K4</f>
        <v>Each Player must have an Investment with at least level $L6 or they will suffer sanctions on Infiltrate</v>
      </c>
      <c r="AP4" s="83" t="str">
        <f t="shared" ref="AP4" si="15">L4</f>
        <v>No Player may have an Investment higher than level $L6 or they will suffer sanctions on Infiltrate</v>
      </c>
      <c r="AQ4" s="85" t="str">
        <f t="shared" ref="AQ4" si="16">M4</f>
        <v>Each Player must deploy at least $L6 Troops or they will suffer sanctions on Petition &amp; Postpone</v>
      </c>
      <c r="AR4" s="83" t="str">
        <f t="shared" ref="AR4" si="17">N4</f>
        <v>No Player may deploy more than $L6 Troops or they will suffer sanctions on Petition &amp; Postpone</v>
      </c>
      <c r="AS4" s="85" t="str">
        <f t="shared" ref="AS4" si="18">O4</f>
        <v>Each Player must have at least $L6 sponsored Laws active or in the queue or they will suffer sanctions on Tax</v>
      </c>
      <c r="AT4" s="83" t="str">
        <f t="shared" ref="AT4" si="19">P4</f>
        <v>No Player may have more than $L6 sponsored Laws active or in the queue or they will suffer sanctions on Tax</v>
      </c>
      <c r="AU4" s="85" t="str">
        <f t="shared" ref="AU4" si="20">Q4</f>
        <v>Each Player must have a Leader with at least level $L6 or they will suffer sanctions on Sue</v>
      </c>
      <c r="AV4" s="83" t="str">
        <f t="shared" ref="AV4" si="21">R4</f>
        <v>No Player may have a Leader higher than level $L6 or they will suffer sanctions on Sue</v>
      </c>
      <c r="AW4" s="85" t="str">
        <f t="shared" ref="AW4" si="22">S4</f>
        <v>Each Player must Harvest at least $L6 Commodities this round or they will suffer sanctions on Recruit</v>
      </c>
      <c r="AX4" s="86" t="str">
        <f t="shared" ref="AX4" si="23">T4</f>
        <v>No Player may Harvest more than $L6 Commodities this round or they will suffer sanctions on Recruit</v>
      </c>
      <c r="AY4" s="83" t="str">
        <f t="shared" ref="AY4" si="24">U4</f>
        <v>Each Player must have at least 3 + $L6 Leaders or they will suffer sanctions on Build &amp; Upgrade</v>
      </c>
      <c r="AZ4" s="85" t="str">
        <f t="shared" ref="AZ4" si="25">V4</f>
        <v>No Player may have more than $L6 Leaders or they will suffer sanctions on Build &amp; Upgrade</v>
      </c>
      <c r="BA4" s="83" t="str">
        <f t="shared" ref="BA4" si="26">W4</f>
        <v>Each Player must have at least $L6 Troops or they will suffer sanctions on Harvest</v>
      </c>
      <c r="BB4" s="85" t="str">
        <f t="shared" ref="BB4" si="27">X4</f>
        <v>No Player may have more than $L6 Troops or they will suffer sanctions on Harvest</v>
      </c>
      <c r="BC4" s="83" t="str">
        <f t="shared" ref="BC4" si="28">Y4</f>
        <v>At least $L6 Players must use Undermarket Actions or all Players suffer sanctions on Prioritize</v>
      </c>
      <c r="BD4" s="85" t="str">
        <f t="shared" ref="BD4" si="29">Z4</f>
        <v>No more than $L6 Players may use Undermarket Actions or all Players suffer sanctions on Prioritize</v>
      </c>
      <c r="BE4" s="83" t="str">
        <f t="shared" ref="BE4" si="30">AA4</f>
        <v>At least $L6 Players must use Court Actions or all Players suffer sanctions on Flatter</v>
      </c>
      <c r="BF4" s="85" t="str">
        <f t="shared" ref="BF4" si="31">AB4</f>
        <v>No more than $L6 Players may use Court Actions or all Players suffer sanctions on Flatter</v>
      </c>
      <c r="BG4" s="83" t="str">
        <f t="shared" ref="BG4" si="32">AC4</f>
        <v>Each Player must have at least $L6 Cards in hand or they will suffer sanctions on Monetize</v>
      </c>
      <c r="BH4" s="86" t="str">
        <f t="shared" ref="BH4" si="33">AD4</f>
        <v>No Player may have more than $L6 Cards in their hand or they will suffer sanctions on Monetize</v>
      </c>
      <c r="BI4" s="83"/>
    </row>
    <row r="5" spans="1:61" s="89" customFormat="1" ht="39.950000000000003" customHeight="1" x14ac:dyDescent="0.25">
      <c r="A5" s="87" t="str">
        <f>Cards!F2</f>
        <v>Fickle Mercenaries</v>
      </c>
      <c r="B5" s="88" t="str">
        <f>Cards!F3</f>
        <v>Blatant Thievery</v>
      </c>
      <c r="C5" s="89" t="str">
        <f>Cards!F4</f>
        <v>Double Agents</v>
      </c>
      <c r="D5" s="87" t="str">
        <f>Cards!F5</f>
        <v>Questionable Reallocation</v>
      </c>
      <c r="E5" s="89" t="str">
        <f>Cards!F6</f>
        <v>Blackmail</v>
      </c>
      <c r="F5" s="87" t="str">
        <f>Cards!F7</f>
        <v>Invalid Paperwork</v>
      </c>
      <c r="G5" s="89" t="str">
        <f>Cards!F8</f>
        <v>Insider Trading</v>
      </c>
      <c r="H5" s="87" t="str">
        <f>Cards!F9</f>
        <v>Whispers of the People</v>
      </c>
      <c r="I5" s="89" t="str">
        <f>Cards!F10</f>
        <v>Dangerous Monopolies</v>
      </c>
      <c r="J5" s="87" t="str">
        <f>Cards!F11</f>
        <v>Corporate Takeover</v>
      </c>
      <c r="K5" s="89" t="str">
        <f>Cards!F12</f>
        <v>Sabotage</v>
      </c>
      <c r="L5" s="87" t="str">
        <f>Cards!F13</f>
        <v>Poor Management</v>
      </c>
      <c r="M5" s="89" t="str">
        <f>Cards!F14</f>
        <v>Assassination</v>
      </c>
      <c r="N5" s="87" t="str">
        <f>Cards!F15</f>
        <v>Betrayal</v>
      </c>
      <c r="O5" s="89" t="str">
        <f>Cards!F16</f>
        <v>Intimidate</v>
      </c>
      <c r="P5" s="87" t="str">
        <f>Cards!F17</f>
        <v>Humiliate</v>
      </c>
      <c r="Q5" s="89" t="str">
        <f>Cards!F18</f>
        <v>Backroom Deal</v>
      </c>
      <c r="R5" s="87" t="str">
        <f t="shared" ref="R5:AH5" si="34">A5</f>
        <v>Fickle Mercenaries</v>
      </c>
      <c r="S5" s="89" t="str">
        <f t="shared" si="34"/>
        <v>Blatant Thievery</v>
      </c>
      <c r="T5" s="87" t="str">
        <f t="shared" si="34"/>
        <v>Double Agents</v>
      </c>
      <c r="U5" s="89" t="str">
        <f t="shared" si="34"/>
        <v>Questionable Reallocation</v>
      </c>
      <c r="V5" s="87" t="str">
        <f t="shared" si="34"/>
        <v>Blackmail</v>
      </c>
      <c r="W5" s="89" t="str">
        <f t="shared" si="34"/>
        <v>Invalid Paperwork</v>
      </c>
      <c r="X5" s="87" t="str">
        <f t="shared" si="34"/>
        <v>Insider Trading</v>
      </c>
      <c r="Y5" s="89" t="str">
        <f t="shared" si="34"/>
        <v>Whispers of the People</v>
      </c>
      <c r="Z5" s="87" t="str">
        <f t="shared" si="34"/>
        <v>Dangerous Monopolies</v>
      </c>
      <c r="AA5" s="89" t="str">
        <f t="shared" si="34"/>
        <v>Corporate Takeover</v>
      </c>
      <c r="AB5" s="87" t="str">
        <f t="shared" si="34"/>
        <v>Sabotage</v>
      </c>
      <c r="AC5" s="89" t="str">
        <f t="shared" si="34"/>
        <v>Poor Management</v>
      </c>
      <c r="AD5" s="90" t="str">
        <f t="shared" si="34"/>
        <v>Assassination</v>
      </c>
      <c r="AE5" s="87" t="str">
        <f t="shared" si="34"/>
        <v>Betrayal</v>
      </c>
      <c r="AF5" s="87" t="str">
        <f t="shared" si="34"/>
        <v>Intimidate</v>
      </c>
      <c r="AG5" s="89" t="str">
        <f t="shared" si="34"/>
        <v>Humiliate</v>
      </c>
      <c r="AH5" s="87" t="str">
        <f t="shared" si="34"/>
        <v>Backroom Deal</v>
      </c>
      <c r="AI5" s="89" t="str">
        <f t="shared" ref="AI5:AY5" si="35">A5</f>
        <v>Fickle Mercenaries</v>
      </c>
      <c r="AJ5" s="87" t="str">
        <f t="shared" si="35"/>
        <v>Blatant Thievery</v>
      </c>
      <c r="AK5" s="89" t="str">
        <f t="shared" si="35"/>
        <v>Double Agents</v>
      </c>
      <c r="AL5" s="87" t="str">
        <f t="shared" si="35"/>
        <v>Questionable Reallocation</v>
      </c>
      <c r="AM5" s="89" t="str">
        <f t="shared" si="35"/>
        <v>Blackmail</v>
      </c>
      <c r="AN5" s="87" t="str">
        <f t="shared" si="35"/>
        <v>Invalid Paperwork</v>
      </c>
      <c r="AO5" s="89" t="str">
        <f t="shared" si="35"/>
        <v>Insider Trading</v>
      </c>
      <c r="AP5" s="87" t="str">
        <f t="shared" si="35"/>
        <v>Whispers of the People</v>
      </c>
      <c r="AQ5" s="89" t="str">
        <f t="shared" si="35"/>
        <v>Dangerous Monopolies</v>
      </c>
      <c r="AR5" s="87" t="str">
        <f t="shared" si="35"/>
        <v>Corporate Takeover</v>
      </c>
      <c r="AS5" s="89" t="str">
        <f t="shared" si="35"/>
        <v>Sabotage</v>
      </c>
      <c r="AT5" s="87" t="str">
        <f t="shared" si="35"/>
        <v>Poor Management</v>
      </c>
      <c r="AU5" s="89" t="str">
        <f t="shared" si="35"/>
        <v>Assassination</v>
      </c>
      <c r="AV5" s="87" t="str">
        <f t="shared" si="35"/>
        <v>Betrayal</v>
      </c>
      <c r="AW5" s="89" t="str">
        <f t="shared" si="35"/>
        <v>Intimidate</v>
      </c>
      <c r="AX5" s="90" t="str">
        <f t="shared" si="35"/>
        <v>Humiliate</v>
      </c>
      <c r="AY5" s="87" t="str">
        <f t="shared" si="35"/>
        <v>Backroom Deal</v>
      </c>
      <c r="BA5" s="87" t="str">
        <f t="shared" ref="BA5:BI6" si="36">AA1</f>
        <v>Wary Guards</v>
      </c>
      <c r="BB5" s="89" t="str">
        <f t="shared" si="36"/>
        <v>Information Security</v>
      </c>
      <c r="BC5" s="87" t="str">
        <f t="shared" si="36"/>
        <v>Blood Pact</v>
      </c>
      <c r="BD5" s="89" t="str">
        <f t="shared" si="36"/>
        <v>Expert Broker</v>
      </c>
      <c r="BE5" s="87" t="str">
        <f t="shared" si="36"/>
        <v>Codependent Relationship</v>
      </c>
      <c r="BF5" s="89" t="str">
        <f t="shared" si="36"/>
        <v>Dangerous Promises</v>
      </c>
      <c r="BG5" s="87" t="str">
        <f t="shared" si="36"/>
        <v>Large Middle Class</v>
      </c>
      <c r="BH5" s="87" t="str">
        <f t="shared" si="36"/>
        <v>Innovation Hub</v>
      </c>
      <c r="BI5" s="87" t="str">
        <f t="shared" si="36"/>
        <v>Fire Temple</v>
      </c>
    </row>
    <row r="6" spans="1:61" s="85" customFormat="1" ht="102" customHeight="1" thickBot="1" x14ac:dyDescent="0.3">
      <c r="A6" s="83" t="str">
        <f>Cards!G2</f>
        <v>Give $D6 Troops to Player $R</v>
      </c>
      <c r="B6" s="84" t="str">
        <f>Cards!G3</f>
        <v>Give $D6 Coins to Player $R</v>
      </c>
      <c r="C6" s="85" t="str">
        <f>Cards!G4</f>
        <v>Give $D6 Spies to Player $R</v>
      </c>
      <c r="D6" s="83" t="str">
        <f>Cards!G5</f>
        <v>Give $D6 Commodities to Player $R</v>
      </c>
      <c r="E6" s="85" t="str">
        <f>Cards!G6</f>
        <v>Give the King's Favor to Player $R</v>
      </c>
      <c r="F6" s="83" t="str">
        <f>Cards!G7</f>
        <v>Player $R may peek at the Law card at the top of the queue &amp; put it on the bottom of the queue if they want</v>
      </c>
      <c r="G6" s="85" t="str">
        <f>Cards!G8</f>
        <v>Give $D6 random Cards from your hand to Player $R</v>
      </c>
      <c r="H6" s="83" t="str">
        <f>Cards!G9</f>
        <v>Rearrange $D3 Law cards from the top of the queue</v>
      </c>
      <c r="I6" s="85" t="str">
        <f>Cards!G10</f>
        <v>Destroy an Investment at level $D6</v>
      </c>
      <c r="J6" s="83" t="str">
        <f>Cards!G11</f>
        <v>Send an Investment at level $D6 to Player $R</v>
      </c>
      <c r="K6" s="85" t="str">
        <f>Cards!G12</f>
        <v>Downgrade an Investment at level $D6</v>
      </c>
      <c r="L6" s="83" t="str">
        <f>Cards!G13</f>
        <v>Downgrade an Investment at level $D6</v>
      </c>
      <c r="M6" s="85" t="str">
        <f>Cards!G14</f>
        <v>Kill a Leader at level $D6</v>
      </c>
      <c r="N6" s="83" t="str">
        <f>Cards!G15</f>
        <v>Send a Leader at level $D6 to Player $R</v>
      </c>
      <c r="O6" s="85" t="str">
        <f>Cards!G16</f>
        <v>Demote a Leader at level $D6</v>
      </c>
      <c r="P6" s="83" t="str">
        <f>Cards!G17</f>
        <v>Demote a Leader at level $D6</v>
      </c>
      <c r="Q6" s="85" t="str">
        <f>Cards!G18</f>
        <v>Exchange a random held Alliance Token, or one of your own if you hold none, with one of the choice of Player $R</v>
      </c>
      <c r="R6" s="83" t="str">
        <f t="shared" ref="R6:AH6" si="37">A6</f>
        <v>Give $D6 Troops to Player $R</v>
      </c>
      <c r="S6" s="85" t="str">
        <f t="shared" si="37"/>
        <v>Give $D6 Coins to Player $R</v>
      </c>
      <c r="T6" s="83" t="str">
        <f t="shared" si="37"/>
        <v>Give $D6 Spies to Player $R</v>
      </c>
      <c r="U6" s="85" t="str">
        <f t="shared" si="37"/>
        <v>Give $D6 Commodities to Player $R</v>
      </c>
      <c r="V6" s="83" t="str">
        <f t="shared" si="37"/>
        <v>Give the King's Favor to Player $R</v>
      </c>
      <c r="W6" s="85" t="str">
        <f t="shared" si="37"/>
        <v>Player $R may peek at the Law card at the top of the queue &amp; put it on the bottom of the queue if they want</v>
      </c>
      <c r="X6" s="83" t="str">
        <f t="shared" si="37"/>
        <v>Give $D6 random Cards from your hand to Player $R</v>
      </c>
      <c r="Y6" s="85" t="str">
        <f t="shared" si="37"/>
        <v>Rearrange $D3 Law cards from the top of the queue</v>
      </c>
      <c r="Z6" s="83" t="str">
        <f t="shared" si="37"/>
        <v>Destroy an Investment at level $D6</v>
      </c>
      <c r="AA6" s="85" t="str">
        <f t="shared" si="37"/>
        <v>Send an Investment at level $D6 to Player $R</v>
      </c>
      <c r="AB6" s="83" t="str">
        <f t="shared" si="37"/>
        <v>Downgrade an Investment at level $D6</v>
      </c>
      <c r="AC6" s="85" t="str">
        <f t="shared" si="37"/>
        <v>Downgrade an Investment at level $D6</v>
      </c>
      <c r="AD6" s="86" t="str">
        <f t="shared" si="37"/>
        <v>Kill a Leader at level $D6</v>
      </c>
      <c r="AE6" s="83" t="str">
        <f t="shared" si="37"/>
        <v>Send a Leader at level $D6 to Player $R</v>
      </c>
      <c r="AF6" s="83" t="str">
        <f t="shared" si="37"/>
        <v>Demote a Leader at level $D6</v>
      </c>
      <c r="AG6" s="85" t="str">
        <f t="shared" si="37"/>
        <v>Demote a Leader at level $D6</v>
      </c>
      <c r="AH6" s="83" t="str">
        <f t="shared" si="37"/>
        <v>Exchange a random held Alliance Token, or one of your own if you hold none, with one of the choice of Player $R</v>
      </c>
      <c r="AI6" s="85" t="str">
        <f t="shared" ref="AI6:AY6" si="38">A6</f>
        <v>Give $D6 Troops to Player $R</v>
      </c>
      <c r="AJ6" s="83" t="str">
        <f t="shared" si="38"/>
        <v>Give $D6 Coins to Player $R</v>
      </c>
      <c r="AK6" s="85" t="str">
        <f t="shared" si="38"/>
        <v>Give $D6 Spies to Player $R</v>
      </c>
      <c r="AL6" s="83" t="str">
        <f t="shared" si="38"/>
        <v>Give $D6 Commodities to Player $R</v>
      </c>
      <c r="AM6" s="85" t="str">
        <f t="shared" si="38"/>
        <v>Give the King's Favor to Player $R</v>
      </c>
      <c r="AN6" s="83" t="str">
        <f t="shared" si="38"/>
        <v>Player $R may peek at the Law card at the top of the queue &amp; put it on the bottom of the queue if they want</v>
      </c>
      <c r="AO6" s="85" t="str">
        <f t="shared" si="38"/>
        <v>Give $D6 random Cards from your hand to Player $R</v>
      </c>
      <c r="AP6" s="83" t="str">
        <f t="shared" si="38"/>
        <v>Rearrange $D3 Law cards from the top of the queue</v>
      </c>
      <c r="AQ6" s="85" t="str">
        <f t="shared" si="38"/>
        <v>Destroy an Investment at level $D6</v>
      </c>
      <c r="AR6" s="83" t="str">
        <f t="shared" si="38"/>
        <v>Send an Investment at level $D6 to Player $R</v>
      </c>
      <c r="AS6" s="85" t="str">
        <f t="shared" si="38"/>
        <v>Downgrade an Investment at level $D6</v>
      </c>
      <c r="AT6" s="83" t="str">
        <f t="shared" si="38"/>
        <v>Downgrade an Investment at level $D6</v>
      </c>
      <c r="AU6" s="85" t="str">
        <f t="shared" si="38"/>
        <v>Kill a Leader at level $D6</v>
      </c>
      <c r="AV6" s="83" t="str">
        <f t="shared" si="38"/>
        <v>Send a Leader at level $D6 to Player $R</v>
      </c>
      <c r="AW6" s="85" t="str">
        <f t="shared" si="38"/>
        <v>Demote a Leader at level $D6</v>
      </c>
      <c r="AX6" s="86" t="str">
        <f t="shared" si="38"/>
        <v>Demote a Leader at level $D6</v>
      </c>
      <c r="AY6" s="83" t="str">
        <f t="shared" si="38"/>
        <v>Exchange a random held Alliance Token, or one of your own if you hold none, with one of the choice of Player $R</v>
      </c>
      <c r="BA6" s="83" t="str">
        <f t="shared" si="36"/>
        <v>Subtract $L3 from Scheme Guard rolls</v>
      </c>
      <c r="BB6" s="85" t="str">
        <f t="shared" si="36"/>
        <v>Subtract $L3 from Scheme Card rolls</v>
      </c>
      <c r="BC6" s="83" t="str">
        <f t="shared" si="36"/>
        <v>Spend $L3 fewer Commodities per Coin when Selling to the Undermarket</v>
      </c>
      <c r="BD6" s="85" t="str">
        <f t="shared" si="36"/>
        <v>Spend $L3 fewer Commodities per Coin when Selling to the Court</v>
      </c>
      <c r="BE6" s="83" t="str">
        <f t="shared" si="36"/>
        <v>Trade up to $L3 additional Coins when Buying from the Undermarket</v>
      </c>
      <c r="BF6" s="85" t="str">
        <f t="shared" si="36"/>
        <v>Trade for up to $L3 additional Coins when Selling to the Undermarket</v>
      </c>
      <c r="BG6" s="83" t="str">
        <f t="shared" si="36"/>
        <v>Trade for up to $L3 additional Coins when Monetizing in the Undermarket</v>
      </c>
      <c r="BH6" s="83" t="str">
        <f t="shared" si="36"/>
        <v>Provides private Monetize Action at Market Rate + $L3</v>
      </c>
      <c r="BI6" s="83" t="str">
        <f t="shared" si="36"/>
        <v>Spend $L3 fewer Cards per Coin when Monetizing in the Court</v>
      </c>
    </row>
  </sheetData>
  <pageMargins left="0.25" right="0.25" top="0.75" bottom="0.75" header="0.3" footer="0.3"/>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5"/>
  <cols>
    <col min="1" max="1" width="19.5703125" bestFit="1" customWidth="1"/>
    <col min="3" max="3" width="12.140625" bestFit="1" customWidth="1"/>
    <col min="4" max="4" width="8.85546875" bestFit="1" customWidth="1"/>
    <col min="5" max="5" width="13.85546875" bestFit="1" customWidth="1"/>
    <col min="6" max="6" width="10.28515625" bestFit="1" customWidth="1"/>
  </cols>
  <sheetData>
    <row r="1" spans="1:6" x14ac:dyDescent="0.25">
      <c r="B1" t="s">
        <v>310</v>
      </c>
      <c r="C1" t="s">
        <v>311</v>
      </c>
      <c r="D1" t="s">
        <v>312</v>
      </c>
      <c r="E1" t="s">
        <v>313</v>
      </c>
      <c r="F1" t="s">
        <v>314</v>
      </c>
    </row>
    <row r="2" spans="1:6" x14ac:dyDescent="0.25">
      <c r="A2" t="s">
        <v>291</v>
      </c>
      <c r="B2">
        <f>30*2</f>
        <v>60</v>
      </c>
      <c r="C2" t="s">
        <v>315</v>
      </c>
      <c r="D2">
        <v>27.7</v>
      </c>
    </row>
    <row r="3" spans="1:6" x14ac:dyDescent="0.25">
      <c r="A3" t="s">
        <v>292</v>
      </c>
      <c r="B3">
        <f>34*2</f>
        <v>68</v>
      </c>
      <c r="C3" t="s">
        <v>315</v>
      </c>
      <c r="D3">
        <v>27.7</v>
      </c>
    </row>
    <row r="4" spans="1:6" x14ac:dyDescent="0.25">
      <c r="A4" t="s">
        <v>293</v>
      </c>
      <c r="B4">
        <f>18*3</f>
        <v>54</v>
      </c>
      <c r="C4" t="s">
        <v>315</v>
      </c>
      <c r="D4">
        <v>30.75</v>
      </c>
    </row>
    <row r="5" spans="1:6" x14ac:dyDescent="0.25">
      <c r="A5" t="s">
        <v>294</v>
      </c>
      <c r="B5">
        <f>2*6+6*6</f>
        <v>48</v>
      </c>
      <c r="C5" t="s">
        <v>318</v>
      </c>
    </row>
    <row r="6" spans="1:6" x14ac:dyDescent="0.25">
      <c r="A6" t="s">
        <v>306</v>
      </c>
      <c r="B6">
        <f>1*6+10*6</f>
        <v>66</v>
      </c>
      <c r="C6" t="s">
        <v>316</v>
      </c>
      <c r="E6" t="s">
        <v>317</v>
      </c>
    </row>
    <row r="7" spans="1:6" x14ac:dyDescent="0.25">
      <c r="A7" t="s">
        <v>295</v>
      </c>
      <c r="B7">
        <f>10*6+10</f>
        <v>70</v>
      </c>
      <c r="C7" t="s">
        <v>316</v>
      </c>
      <c r="E7" t="s">
        <v>321</v>
      </c>
    </row>
    <row r="8" spans="1:6" x14ac:dyDescent="0.25">
      <c r="A8" t="s">
        <v>296</v>
      </c>
      <c r="B8">
        <f>2*8*6</f>
        <v>96</v>
      </c>
      <c r="C8" t="s">
        <v>316</v>
      </c>
      <c r="E8" t="s">
        <v>321</v>
      </c>
    </row>
    <row r="9" spans="1:6" x14ac:dyDescent="0.25">
      <c r="A9" t="s">
        <v>297</v>
      </c>
      <c r="B9">
        <f>5*6</f>
        <v>30</v>
      </c>
      <c r="C9" t="s">
        <v>316</v>
      </c>
    </row>
    <row r="10" spans="1:6" x14ac:dyDescent="0.25">
      <c r="A10" t="s">
        <v>298</v>
      </c>
      <c r="B10">
        <f>5*6</f>
        <v>30</v>
      </c>
      <c r="C10" t="s">
        <v>316</v>
      </c>
      <c r="E10" t="s">
        <v>317</v>
      </c>
    </row>
    <row r="11" spans="1:6" x14ac:dyDescent="0.25">
      <c r="A11" t="s">
        <v>299</v>
      </c>
      <c r="B11">
        <f>(30*6-B10)/5</f>
        <v>30</v>
      </c>
      <c r="C11" t="s">
        <v>316</v>
      </c>
      <c r="E11" t="s">
        <v>317</v>
      </c>
    </row>
    <row r="12" spans="1:6" x14ac:dyDescent="0.25">
      <c r="A12" t="s">
        <v>300</v>
      </c>
      <c r="B12">
        <f>5*6</f>
        <v>30</v>
      </c>
      <c r="C12" t="s">
        <v>316</v>
      </c>
      <c r="E12" t="s">
        <v>318</v>
      </c>
    </row>
    <row r="13" spans="1:6" x14ac:dyDescent="0.25">
      <c r="A13" t="s">
        <v>301</v>
      </c>
      <c r="B13">
        <f>(15*6-B12)/5</f>
        <v>12</v>
      </c>
      <c r="C13" t="s">
        <v>316</v>
      </c>
      <c r="E13" t="s">
        <v>318</v>
      </c>
    </row>
    <row r="14" spans="1:6" x14ac:dyDescent="0.25">
      <c r="A14" t="s">
        <v>302</v>
      </c>
      <c r="B14">
        <v>1</v>
      </c>
      <c r="C14" t="s">
        <v>319</v>
      </c>
    </row>
    <row r="15" spans="1:6" x14ac:dyDescent="0.25">
      <c r="A15" t="s">
        <v>303</v>
      </c>
      <c r="B15">
        <v>1</v>
      </c>
      <c r="C15" t="s">
        <v>319</v>
      </c>
    </row>
    <row r="16" spans="1:6" x14ac:dyDescent="0.25">
      <c r="A16" t="s">
        <v>304</v>
      </c>
      <c r="B16">
        <v>1</v>
      </c>
      <c r="C16" t="s">
        <v>319</v>
      </c>
    </row>
    <row r="17" spans="1:3" x14ac:dyDescent="0.25">
      <c r="A17" t="s">
        <v>305</v>
      </c>
      <c r="B17">
        <v>6</v>
      </c>
      <c r="C17" t="s">
        <v>315</v>
      </c>
    </row>
    <row r="18" spans="1:3" x14ac:dyDescent="0.25">
      <c r="A18" t="s">
        <v>309</v>
      </c>
      <c r="B18">
        <f>10*6</f>
        <v>60</v>
      </c>
      <c r="C18" t="s">
        <v>320</v>
      </c>
    </row>
    <row r="19" spans="1:3" x14ac:dyDescent="0.25">
      <c r="A19" t="s">
        <v>308</v>
      </c>
      <c r="B19">
        <f>5*7</f>
        <v>35</v>
      </c>
      <c r="C19" t="s">
        <v>320</v>
      </c>
    </row>
    <row r="20" spans="1:3" x14ac:dyDescent="0.25">
      <c r="A20" t="s">
        <v>307</v>
      </c>
      <c r="B20">
        <f>5*7</f>
        <v>35</v>
      </c>
      <c r="C20" t="s">
        <v>320</v>
      </c>
    </row>
    <row r="21" spans="1:3" x14ac:dyDescent="0.25">
      <c r="A21" t="s">
        <v>322</v>
      </c>
      <c r="B21">
        <v>6</v>
      </c>
      <c r="C21" t="s">
        <v>323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opLeftCell="B1" zoomScaleNormal="60" zoomScaleSheetLayoutView="100" workbookViewId="0">
      <pane ySplit="1" topLeftCell="A2" activePane="bottomLeft" state="frozen"/>
      <selection activeCell="B1" sqref="B1"/>
      <selection pane="bottomLeft" activeCell="I3" sqref="I3"/>
    </sheetView>
  </sheetViews>
  <sheetFormatPr defaultRowHeight="15" x14ac:dyDescent="0.25"/>
  <cols>
    <col min="1" max="1" width="23.140625" style="106" bestFit="1" customWidth="1"/>
    <col min="2" max="2" width="7.42578125" bestFit="1" customWidth="1"/>
    <col min="3" max="3" width="6.7109375" customWidth="1"/>
    <col min="4" max="4" width="8.28515625" bestFit="1" customWidth="1"/>
    <col min="5" max="5" width="16.28515625" bestFit="1" customWidth="1"/>
    <col min="6" max="6" width="12.5703125" bestFit="1" customWidth="1"/>
    <col min="7" max="7" width="12" bestFit="1" customWidth="1"/>
    <col min="8" max="8" width="10.28515625" style="108" bestFit="1" customWidth="1"/>
    <col min="9" max="9" width="11.42578125" style="108" bestFit="1" customWidth="1"/>
    <col min="10" max="10" width="10.28515625" bestFit="1" customWidth="1"/>
    <col min="11" max="11" width="11.42578125" style="108" bestFit="1" customWidth="1"/>
    <col min="12" max="19" width="11.85546875" style="108" bestFit="1" customWidth="1"/>
    <col min="20" max="20" width="12.85546875" style="108" bestFit="1" customWidth="1"/>
    <col min="21" max="21" width="12.5703125" bestFit="1" customWidth="1"/>
  </cols>
  <sheetData>
    <row r="1" spans="1:21" x14ac:dyDescent="0.25">
      <c r="A1" t="s">
        <v>459</v>
      </c>
      <c r="B1" t="s">
        <v>460</v>
      </c>
      <c r="C1" t="s">
        <v>461</v>
      </c>
      <c r="D1" t="s">
        <v>462</v>
      </c>
      <c r="E1" t="s">
        <v>463</v>
      </c>
      <c r="F1" t="s">
        <v>490</v>
      </c>
      <c r="G1" t="s">
        <v>489</v>
      </c>
      <c r="H1" t="s">
        <v>464</v>
      </c>
      <c r="I1" t="s">
        <v>465</v>
      </c>
      <c r="J1" t="s">
        <v>487</v>
      </c>
      <c r="K1" t="s">
        <v>466</v>
      </c>
      <c r="L1" t="s">
        <v>467</v>
      </c>
      <c r="M1" t="s">
        <v>468</v>
      </c>
      <c r="N1" t="s">
        <v>469</v>
      </c>
      <c r="O1" t="s">
        <v>470</v>
      </c>
      <c r="P1" t="s">
        <v>471</v>
      </c>
      <c r="Q1" t="s">
        <v>472</v>
      </c>
      <c r="R1" t="s">
        <v>473</v>
      </c>
      <c r="S1" t="s">
        <v>474</v>
      </c>
      <c r="T1" t="s">
        <v>475</v>
      </c>
      <c r="U1" t="s">
        <v>488</v>
      </c>
    </row>
    <row r="2" spans="1:21" x14ac:dyDescent="0.25">
      <c r="A2" s="106">
        <v>46075</v>
      </c>
      <c r="B2">
        <v>6</v>
      </c>
      <c r="C2" s="107" t="b">
        <v>0</v>
      </c>
      <c r="D2" s="107" t="b">
        <v>0</v>
      </c>
      <c r="E2">
        <v>12</v>
      </c>
      <c r="F2">
        <v>17</v>
      </c>
      <c r="H2" s="108">
        <v>0.79166666666666663</v>
      </c>
      <c r="I2" s="108">
        <v>0.93055555555555558</v>
      </c>
      <c r="K2" s="108">
        <v>0.81458333333333333</v>
      </c>
      <c r="L2" s="108">
        <v>0.83125000000000004</v>
      </c>
      <c r="M2" s="108">
        <v>0.85486111111111107</v>
      </c>
      <c r="N2" s="108">
        <v>0.87777777777777777</v>
      </c>
      <c r="O2" s="108">
        <v>0.90069444444444446</v>
      </c>
      <c r="P2" s="108">
        <v>0.92638888888888893</v>
      </c>
    </row>
    <row r="3" spans="1:21" x14ac:dyDescent="0.25">
      <c r="A3" s="106">
        <v>46089</v>
      </c>
      <c r="B3">
        <v>6</v>
      </c>
      <c r="C3" s="107" t="b">
        <v>0</v>
      </c>
      <c r="D3" s="107" t="b">
        <v>0</v>
      </c>
      <c r="E3">
        <v>12</v>
      </c>
      <c r="F3">
        <v>18</v>
      </c>
      <c r="G3">
        <v>1</v>
      </c>
      <c r="H3" s="108">
        <v>0.68541666666666667</v>
      </c>
      <c r="I3" s="108">
        <v>0.86041666666666672</v>
      </c>
      <c r="J3" s="108">
        <v>0.6958333333333333</v>
      </c>
      <c r="K3" s="108">
        <v>0.70763888888888893</v>
      </c>
      <c r="L3" s="108">
        <v>0.7270833333333333</v>
      </c>
      <c r="M3" s="108">
        <v>0.75069444444444444</v>
      </c>
      <c r="N3" s="108">
        <v>0.77500000000000002</v>
      </c>
      <c r="O3" s="108">
        <v>0.80347222222222225</v>
      </c>
      <c r="P3" s="108">
        <v>0.82986111111111116</v>
      </c>
      <c r="Q3" s="108">
        <v>0.86041666666666672</v>
      </c>
      <c r="U3" s="108">
        <v>0.86527777777777781</v>
      </c>
    </row>
    <row r="4" spans="1:21" x14ac:dyDescent="0.25">
      <c r="C4" s="107" t="b">
        <v>0</v>
      </c>
      <c r="D4" s="107" t="b">
        <v>0</v>
      </c>
    </row>
    <row r="5" spans="1:21" x14ac:dyDescent="0.25">
      <c r="C5" s="107" t="b">
        <v>0</v>
      </c>
      <c r="D5" s="107" t="b">
        <v>0</v>
      </c>
    </row>
    <row r="6" spans="1:21" x14ac:dyDescent="0.25">
      <c r="C6" s="107" t="b">
        <v>0</v>
      </c>
      <c r="D6" s="107" t="b">
        <v>0</v>
      </c>
    </row>
    <row r="7" spans="1:21" x14ac:dyDescent="0.25">
      <c r="C7" s="107" t="b">
        <v>0</v>
      </c>
      <c r="D7" s="107" t="b">
        <v>0</v>
      </c>
    </row>
    <row r="8" spans="1:21" x14ac:dyDescent="0.25">
      <c r="C8" s="107" t="b">
        <v>0</v>
      </c>
      <c r="D8" s="107" t="b">
        <v>0</v>
      </c>
    </row>
    <row r="9" spans="1:21" x14ac:dyDescent="0.25">
      <c r="C9" s="107" t="b">
        <v>0</v>
      </c>
      <c r="D9" s="107" t="b">
        <v>0</v>
      </c>
    </row>
    <row r="10" spans="1:21" x14ac:dyDescent="0.25">
      <c r="C10" s="107" t="b">
        <v>0</v>
      </c>
      <c r="D10" s="107" t="b">
        <v>0</v>
      </c>
    </row>
    <row r="11" spans="1:21" x14ac:dyDescent="0.25">
      <c r="C11" s="107" t="b">
        <v>0</v>
      </c>
      <c r="D11" s="107" t="b">
        <v>0</v>
      </c>
    </row>
    <row r="12" spans="1:21" x14ac:dyDescent="0.25">
      <c r="C12" s="107" t="b">
        <v>0</v>
      </c>
      <c r="D12" s="107" t="b">
        <v>0</v>
      </c>
    </row>
    <row r="13" spans="1:21" x14ac:dyDescent="0.25">
      <c r="C13" s="107" t="b">
        <v>0</v>
      </c>
      <c r="D13" s="107" t="b">
        <v>0</v>
      </c>
    </row>
    <row r="14" spans="1:21" x14ac:dyDescent="0.25">
      <c r="C14" s="107" t="b">
        <v>0</v>
      </c>
      <c r="D14" s="107" t="b">
        <v>0</v>
      </c>
    </row>
    <row r="15" spans="1:21" x14ac:dyDescent="0.25">
      <c r="C15" s="107" t="b">
        <v>0</v>
      </c>
      <c r="D15" s="107" t="b">
        <v>0</v>
      </c>
    </row>
    <row r="16" spans="1:21" x14ac:dyDescent="0.25">
      <c r="C16" s="107" t="b">
        <v>0</v>
      </c>
      <c r="D16" s="107" t="b">
        <v>0</v>
      </c>
    </row>
    <row r="17" spans="3:4" x14ac:dyDescent="0.25">
      <c r="C17" s="107" t="b">
        <v>0</v>
      </c>
      <c r="D17" s="107" t="b">
        <v>0</v>
      </c>
    </row>
    <row r="18" spans="3:4" x14ac:dyDescent="0.25">
      <c r="C18" s="107" t="b">
        <v>0</v>
      </c>
      <c r="D18" s="107" t="b">
        <v>0</v>
      </c>
    </row>
    <row r="19" spans="3:4" x14ac:dyDescent="0.25">
      <c r="C19" s="107" t="b">
        <v>0</v>
      </c>
      <c r="D19" s="107" t="b">
        <v>0</v>
      </c>
    </row>
    <row r="20" spans="3:4" x14ac:dyDescent="0.25">
      <c r="C20" s="107" t="b">
        <v>0</v>
      </c>
      <c r="D20" s="107" t="b">
        <v>0</v>
      </c>
    </row>
    <row r="21" spans="3:4" x14ac:dyDescent="0.25">
      <c r="C21" s="107" t="b">
        <v>0</v>
      </c>
      <c r="D21" s="107" t="b">
        <v>0</v>
      </c>
    </row>
    <row r="22" spans="3:4" x14ac:dyDescent="0.25">
      <c r="C22" s="107" t="b">
        <v>0</v>
      </c>
      <c r="D22" s="107" t="b">
        <v>0</v>
      </c>
    </row>
    <row r="23" spans="3:4" x14ac:dyDescent="0.25">
      <c r="C23" s="107" t="b">
        <v>0</v>
      </c>
      <c r="D23" s="107" t="b">
        <v>0</v>
      </c>
    </row>
    <row r="24" spans="3:4" x14ac:dyDescent="0.25">
      <c r="C24" s="107" t="b">
        <v>0</v>
      </c>
      <c r="D24" s="107" t="b">
        <v>0</v>
      </c>
    </row>
    <row r="25" spans="3:4" x14ac:dyDescent="0.25">
      <c r="C25" s="107" t="b">
        <v>0</v>
      </c>
      <c r="D25" s="107" t="b">
        <v>0</v>
      </c>
    </row>
    <row r="26" spans="3:4" x14ac:dyDescent="0.25">
      <c r="C26" s="107" t="b">
        <v>0</v>
      </c>
      <c r="D26" s="107" t="b">
        <v>0</v>
      </c>
    </row>
    <row r="27" spans="3:4" x14ac:dyDescent="0.25">
      <c r="C27" s="107" t="b">
        <v>0</v>
      </c>
      <c r="D27" s="107" t="b">
        <v>0</v>
      </c>
    </row>
    <row r="28" spans="3:4" x14ac:dyDescent="0.25">
      <c r="C28" s="107" t="b">
        <v>0</v>
      </c>
      <c r="D28" s="107" t="b">
        <v>0</v>
      </c>
    </row>
    <row r="29" spans="3:4" x14ac:dyDescent="0.25">
      <c r="C29" s="107" t="b">
        <v>0</v>
      </c>
      <c r="D29" s="107" t="b">
        <v>0</v>
      </c>
    </row>
    <row r="30" spans="3:4" x14ac:dyDescent="0.25">
      <c r="C30" s="107" t="b">
        <v>0</v>
      </c>
      <c r="D30" s="107" t="b">
        <v>0</v>
      </c>
    </row>
    <row r="31" spans="3:4" x14ac:dyDescent="0.25">
      <c r="C31" s="107" t="b">
        <v>0</v>
      </c>
      <c r="D31" s="107" t="b">
        <v>0</v>
      </c>
    </row>
    <row r="32" spans="3:4" x14ac:dyDescent="0.25">
      <c r="C32" s="107" t="b">
        <v>0</v>
      </c>
      <c r="D32" s="107" t="b">
        <v>0</v>
      </c>
    </row>
    <row r="33" spans="3:4" x14ac:dyDescent="0.25">
      <c r="C33" s="107" t="b">
        <v>0</v>
      </c>
      <c r="D33" s="107" t="b">
        <v>0</v>
      </c>
    </row>
    <row r="34" spans="3:4" x14ac:dyDescent="0.25">
      <c r="C34" s="107" t="b">
        <v>0</v>
      </c>
      <c r="D34" s="107" t="b">
        <v>0</v>
      </c>
    </row>
    <row r="35" spans="3:4" x14ac:dyDescent="0.25">
      <c r="C35" s="107" t="b">
        <v>0</v>
      </c>
      <c r="D35" s="107" t="b">
        <v>0</v>
      </c>
    </row>
    <row r="36" spans="3:4" x14ac:dyDescent="0.25">
      <c r="C36" s="107" t="b">
        <v>0</v>
      </c>
      <c r="D36" s="107" t="b">
        <v>0</v>
      </c>
    </row>
    <row r="37" spans="3:4" x14ac:dyDescent="0.25">
      <c r="C37" s="107" t="b">
        <v>0</v>
      </c>
      <c r="D37" s="107" t="b">
        <v>0</v>
      </c>
    </row>
    <row r="38" spans="3:4" x14ac:dyDescent="0.25">
      <c r="C38" s="107" t="b">
        <v>0</v>
      </c>
      <c r="D38" s="107" t="b">
        <v>0</v>
      </c>
    </row>
    <row r="39" spans="3:4" x14ac:dyDescent="0.25">
      <c r="C39" s="107" t="b">
        <v>0</v>
      </c>
      <c r="D39" s="107" t="b">
        <v>0</v>
      </c>
    </row>
    <row r="40" spans="3:4" x14ac:dyDescent="0.25">
      <c r="C40" s="107" t="b">
        <v>0</v>
      </c>
      <c r="D40" s="107" t="b">
        <v>0</v>
      </c>
    </row>
    <row r="41" spans="3:4" x14ac:dyDescent="0.25">
      <c r="C41" s="107" t="b">
        <v>0</v>
      </c>
      <c r="D41" s="107" t="b">
        <v>0</v>
      </c>
    </row>
    <row r="42" spans="3:4" x14ac:dyDescent="0.25">
      <c r="C42" s="107" t="b">
        <v>0</v>
      </c>
      <c r="D42" s="107" t="b">
        <v>0</v>
      </c>
    </row>
    <row r="43" spans="3:4" x14ac:dyDescent="0.25">
      <c r="C43" s="107" t="b">
        <v>0</v>
      </c>
      <c r="D43" s="107" t="b">
        <v>0</v>
      </c>
    </row>
    <row r="44" spans="3:4" x14ac:dyDescent="0.25">
      <c r="C44" s="107" t="b">
        <v>0</v>
      </c>
      <c r="D44" s="107" t="b">
        <v>0</v>
      </c>
    </row>
    <row r="45" spans="3:4" x14ac:dyDescent="0.25">
      <c r="C45" s="107" t="b">
        <v>0</v>
      </c>
      <c r="D45" s="107" t="b">
        <v>0</v>
      </c>
    </row>
    <row r="46" spans="3:4" x14ac:dyDescent="0.25">
      <c r="C46" s="107" t="b">
        <v>0</v>
      </c>
      <c r="D46" s="107" t="b">
        <v>0</v>
      </c>
    </row>
    <row r="47" spans="3:4" x14ac:dyDescent="0.25">
      <c r="C47" s="107" t="b">
        <v>0</v>
      </c>
      <c r="D47" s="107" t="b">
        <v>0</v>
      </c>
    </row>
    <row r="48" spans="3:4" x14ac:dyDescent="0.25">
      <c r="C48" s="107" t="b">
        <v>0</v>
      </c>
      <c r="D48" s="107" t="b">
        <v>0</v>
      </c>
    </row>
    <row r="49" spans="3:4" x14ac:dyDescent="0.25">
      <c r="C49" s="107" t="b">
        <v>0</v>
      </c>
      <c r="D49" s="107" t="b">
        <v>0</v>
      </c>
    </row>
    <row r="50" spans="3:4" x14ac:dyDescent="0.25">
      <c r="C50" s="107" t="b">
        <v>0</v>
      </c>
      <c r="D50" s="107" t="b">
        <v>0</v>
      </c>
    </row>
    <row r="51" spans="3:4" x14ac:dyDescent="0.25">
      <c r="C51" s="107" t="b">
        <v>0</v>
      </c>
      <c r="D51" s="107" t="b">
        <v>0</v>
      </c>
    </row>
    <row r="52" spans="3:4" x14ac:dyDescent="0.25">
      <c r="C52" s="107" t="b">
        <v>0</v>
      </c>
      <c r="D52" s="107" t="b">
        <v>0</v>
      </c>
    </row>
    <row r="53" spans="3:4" x14ac:dyDescent="0.25">
      <c r="C53" s="107" t="b">
        <v>0</v>
      </c>
      <c r="D53" s="107" t="b">
        <v>0</v>
      </c>
    </row>
    <row r="54" spans="3:4" x14ac:dyDescent="0.25">
      <c r="C54" s="107" t="b">
        <v>0</v>
      </c>
      <c r="D54" s="107" t="b">
        <v>0</v>
      </c>
    </row>
    <row r="55" spans="3:4" x14ac:dyDescent="0.25">
      <c r="C55" s="107" t="b">
        <v>0</v>
      </c>
      <c r="D55" s="107" t="b">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Cards</vt:lpstr>
      <vt:lpstr>Info</vt:lpstr>
      <vt:lpstr>Training Setups</vt:lpstr>
      <vt:lpstr>Provincial and Undermarket</vt:lpstr>
      <vt:lpstr>Court</vt:lpstr>
      <vt:lpstr>Battlefield</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dcterms:created xsi:type="dcterms:W3CDTF">2025-12-05T19:41:08Z</dcterms:created>
  <dcterms:modified xsi:type="dcterms:W3CDTF">2026-03-16T21:27:24Z</dcterms:modified>
  <cp:category/>
  <cp:contentStatus/>
</cp:coreProperties>
</file>