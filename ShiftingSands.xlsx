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mc:AlternateContent xmlns:mc="http://schemas.openxmlformats.org/markup-compatibility/2006">
    <mc:Choice Requires="x15">
      <x15ac:absPath xmlns:x15ac="http://schemas.microsoft.com/office/spreadsheetml/2010/11/ac" url="https://d.docs.live.net/736bb1ccd5622dcc/Documents/BoardGames/ShiftingSands/"/>
    </mc:Choice>
  </mc:AlternateContent>
  <xr:revisionPtr revIDLastSave="4609" documentId="11_0B1D56BE9CDCCE836B02CE7A5FB0D4A9BBFD1C62" xr6:coauthVersionLast="47" xr6:coauthVersionMax="47" xr10:uidLastSave="{C967B3DB-A4F0-420C-86C3-EA5A38C1350B}"/>
  <bookViews>
    <workbookView xWindow="-120" yWindow="-120" windowWidth="38640" windowHeight="21120" xr2:uid="{00000000-000D-0000-FFFF-FFFF00000000}"/>
  </bookViews>
  <sheets>
    <sheet name="Cards" sheetId="1" r:id="rId1"/>
    <sheet name="Info" sheetId="2" r:id="rId2"/>
    <sheet name="Training Setups" sheetId="6" r:id="rId3"/>
    <sheet name="Provincial and Undermarket" sheetId="3" r:id="rId4"/>
    <sheet name="Printable Cards" sheetId="7" r:id="rId5"/>
    <sheet name="Components" sheetId="8" r:id="rId6"/>
    <sheet name="Playtesting" sheetId="9"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7" l="1"/>
  <c r="H2" i="7"/>
  <c r="AV2" i="7"/>
  <c r="H1" i="7"/>
  <c r="AV1" i="7"/>
  <c r="G1" i="7"/>
  <c r="AU1" i="7"/>
  <c r="A1" i="7"/>
  <c r="AO1" i="7"/>
  <c r="B1" i="7"/>
  <c r="AP1" i="7"/>
  <c r="C1" i="7"/>
  <c r="AQ1" i="7"/>
  <c r="D1" i="7"/>
  <c r="AR1" i="7"/>
  <c r="E1" i="7"/>
  <c r="AS1" i="7"/>
  <c r="F1" i="7"/>
  <c r="AT1" i="7"/>
  <c r="I1" i="7"/>
  <c r="AW1" i="7"/>
  <c r="J1" i="7"/>
  <c r="AX1" i="7"/>
  <c r="K1" i="7"/>
  <c r="AY1" i="7"/>
  <c r="L1" i="7"/>
  <c r="AZ1" i="7"/>
  <c r="M1" i="7"/>
  <c r="BA1" i="7"/>
  <c r="N1" i="7"/>
  <c r="BB1" i="7"/>
  <c r="O1" i="7"/>
  <c r="BC1" i="7"/>
  <c r="P1" i="7"/>
  <c r="BD1" i="7"/>
  <c r="Q1" i="7"/>
  <c r="BE1" i="7"/>
  <c r="R1" i="7"/>
  <c r="BF1" i="7"/>
  <c r="S1" i="7"/>
  <c r="BG1" i="7"/>
  <c r="T1" i="7"/>
  <c r="BH1" i="7"/>
  <c r="U1" i="7"/>
  <c r="BI1" i="7"/>
  <c r="V1" i="7"/>
  <c r="BJ1" i="7"/>
  <c r="W1" i="7"/>
  <c r="BK1" i="7"/>
  <c r="X1" i="7"/>
  <c r="BL1" i="7"/>
  <c r="Y1" i="7"/>
  <c r="BM1" i="7"/>
  <c r="Z1" i="7"/>
  <c r="BN1" i="7"/>
  <c r="AA1" i="7"/>
  <c r="BO1" i="7"/>
  <c r="AB1" i="7"/>
  <c r="BP1" i="7"/>
  <c r="AC1" i="7"/>
  <c r="BQ1" i="7"/>
  <c r="AD1" i="7"/>
  <c r="BR1" i="7"/>
  <c r="AE1" i="7"/>
  <c r="BM5" i="7"/>
  <c r="AF1" i="7"/>
  <c r="BN5" i="7"/>
  <c r="AG1" i="7"/>
  <c r="BO5" i="7"/>
  <c r="AH1" i="7"/>
  <c r="BP5" i="7"/>
  <c r="AI1" i="7"/>
  <c r="BQ5" i="7"/>
  <c r="AJ1" i="7"/>
  <c r="BN3" i="7"/>
  <c r="AK1" i="7"/>
  <c r="BO3" i="7"/>
  <c r="AL1" i="7"/>
  <c r="BP3" i="7"/>
  <c r="AM1" i="7"/>
  <c r="BQ3" i="7"/>
  <c r="AN1" i="7"/>
  <c r="BR3" i="7"/>
  <c r="A2" i="7"/>
  <c r="AO2" i="7"/>
  <c r="B2" i="7"/>
  <c r="AP2" i="7"/>
  <c r="C2" i="7"/>
  <c r="AQ2" i="7"/>
  <c r="D2" i="7"/>
  <c r="AR2" i="7"/>
  <c r="E2" i="7"/>
  <c r="AS2" i="7"/>
  <c r="F2" i="7"/>
  <c r="AT2" i="7"/>
  <c r="AU2" i="7"/>
  <c r="I2" i="7"/>
  <c r="AW2" i="7"/>
  <c r="J2" i="7"/>
  <c r="AX2" i="7"/>
  <c r="K2" i="7"/>
  <c r="AY2" i="7"/>
  <c r="L2" i="7"/>
  <c r="AZ2" i="7"/>
  <c r="M2" i="7"/>
  <c r="BA2" i="7"/>
  <c r="N2" i="7"/>
  <c r="BB2" i="7"/>
  <c r="O2" i="7"/>
  <c r="BC2" i="7"/>
  <c r="P2" i="7"/>
  <c r="BD2" i="7"/>
  <c r="Q2" i="7"/>
  <c r="BE2" i="7"/>
  <c r="R2" i="7"/>
  <c r="BF2" i="7"/>
  <c r="S2" i="7"/>
  <c r="BG2" i="7"/>
  <c r="T2" i="7"/>
  <c r="BH2" i="7"/>
  <c r="U2" i="7"/>
  <c r="BI2" i="7"/>
  <c r="V2" i="7"/>
  <c r="BJ2" i="7"/>
  <c r="W2" i="7"/>
  <c r="BK2" i="7"/>
  <c r="X2" i="7"/>
  <c r="BL2" i="7"/>
  <c r="Y2" i="7"/>
  <c r="BM2" i="7"/>
  <c r="Z2" i="7"/>
  <c r="BN2" i="7"/>
  <c r="AA2" i="7"/>
  <c r="BO2" i="7"/>
  <c r="AB2" i="7"/>
  <c r="BP2" i="7"/>
  <c r="AC2" i="7"/>
  <c r="BQ2" i="7"/>
  <c r="AD2" i="7"/>
  <c r="BR2" i="7"/>
  <c r="AE2" i="7"/>
  <c r="BM6" i="7"/>
  <c r="AF2" i="7"/>
  <c r="BN6" i="7"/>
  <c r="AG2" i="7"/>
  <c r="BO6" i="7"/>
  <c r="AH2" i="7"/>
  <c r="BP6" i="7"/>
  <c r="AI2" i="7"/>
  <c r="BQ6" i="7"/>
  <c r="AJ2" i="7"/>
  <c r="BN4" i="7"/>
  <c r="AK2" i="7"/>
  <c r="BO4" i="7"/>
  <c r="AL2" i="7"/>
  <c r="BP4" i="7"/>
  <c r="AM2" i="7"/>
  <c r="BQ4" i="7"/>
  <c r="AN2" i="7"/>
  <c r="BR4" i="7"/>
  <c r="A5" i="7"/>
  <c r="V5" i="7"/>
  <c r="B5" i="7"/>
  <c r="AR5" i="7"/>
  <c r="C5" i="7"/>
  <c r="X5" i="7"/>
  <c r="D5" i="7"/>
  <c r="AT5" i="7"/>
  <c r="E5" i="7"/>
  <c r="AU5" i="7"/>
  <c r="F5" i="7"/>
  <c r="AV5" i="7"/>
  <c r="G5" i="7"/>
  <c r="AW5" i="7"/>
  <c r="H5" i="7"/>
  <c r="AX5" i="7"/>
  <c r="I5" i="7"/>
  <c r="AD5" i="7"/>
  <c r="J5" i="7"/>
  <c r="AE5" i="7"/>
  <c r="K5" i="7"/>
  <c r="AF5" i="7"/>
  <c r="L5" i="7"/>
  <c r="AG5" i="7"/>
  <c r="M5" i="7"/>
  <c r="AH5" i="7"/>
  <c r="BC5" i="7"/>
  <c r="N5" i="7"/>
  <c r="AI5" i="7"/>
  <c r="O5" i="7"/>
  <c r="BE5" i="7"/>
  <c r="P5" i="7"/>
  <c r="AK5" i="7"/>
  <c r="Q5" i="7"/>
  <c r="AL5" i="7"/>
  <c r="R5" i="7"/>
  <c r="BH5" i="7"/>
  <c r="S5" i="7"/>
  <c r="BI5" i="7"/>
  <c r="T5" i="7"/>
  <c r="BJ5" i="7"/>
  <c r="U5" i="7"/>
  <c r="BK5" i="7"/>
  <c r="A6" i="7"/>
  <c r="V6" i="7"/>
  <c r="B6" i="7"/>
  <c r="W6" i="7"/>
  <c r="C6" i="7"/>
  <c r="X6" i="7"/>
  <c r="D6" i="7"/>
  <c r="Y6" i="7"/>
  <c r="E6" i="7"/>
  <c r="Z6" i="7"/>
  <c r="F6" i="7"/>
  <c r="AV6" i="7"/>
  <c r="G6" i="7"/>
  <c r="AB6" i="7"/>
  <c r="H6" i="7"/>
  <c r="AC6" i="7"/>
  <c r="I6" i="7"/>
  <c r="AD6" i="7"/>
  <c r="J6" i="7"/>
  <c r="AZ6" i="7"/>
  <c r="K6" i="7"/>
  <c r="AF6" i="7"/>
  <c r="L6" i="7"/>
  <c r="BB6" i="7"/>
  <c r="M6" i="7"/>
  <c r="AH6" i="7"/>
  <c r="N6" i="7"/>
  <c r="BD6" i="7"/>
  <c r="O6" i="7"/>
  <c r="BE6" i="7"/>
  <c r="P6" i="7"/>
  <c r="AK6" i="7"/>
  <c r="Q6" i="7"/>
  <c r="BG6" i="7"/>
  <c r="R6" i="7"/>
  <c r="AM6" i="7"/>
  <c r="S6" i="7"/>
  <c r="AN6" i="7"/>
  <c r="T6" i="7"/>
  <c r="AO6" i="7"/>
  <c r="U6" i="7"/>
  <c r="AP6" i="7"/>
  <c r="D4" i="7"/>
  <c r="AJ4" i="7"/>
  <c r="E4" i="7"/>
  <c r="AK4" i="7"/>
  <c r="F4" i="7"/>
  <c r="AL4" i="7"/>
  <c r="P4" i="7"/>
  <c r="AV4" i="7"/>
  <c r="Q4" i="7"/>
  <c r="AW4" i="7"/>
  <c r="AC4" i="7"/>
  <c r="BI4" i="7"/>
  <c r="H3" i="7"/>
  <c r="AN3" i="7"/>
  <c r="I3" i="7"/>
  <c r="AO3" i="7"/>
  <c r="J3" i="7"/>
  <c r="AP3" i="7"/>
  <c r="T3" i="7"/>
  <c r="AZ3" i="7"/>
  <c r="U3" i="7"/>
  <c r="BA3" i="7"/>
  <c r="V3" i="7"/>
  <c r="BB3" i="7"/>
  <c r="AE3" i="7"/>
  <c r="BK3" i="7"/>
  <c r="AF3" i="7"/>
  <c r="BL3" i="7"/>
  <c r="AF4" i="7"/>
  <c r="BL4" i="7"/>
  <c r="AE4" i="7"/>
  <c r="BK4" i="7"/>
  <c r="AD4" i="7"/>
  <c r="BJ4" i="7"/>
  <c r="AB4" i="7"/>
  <c r="BH4" i="7"/>
  <c r="AA4" i="7"/>
  <c r="BG4" i="7"/>
  <c r="Z4" i="7"/>
  <c r="BF4" i="7"/>
  <c r="Y4" i="7"/>
  <c r="BE4" i="7"/>
  <c r="X4" i="7"/>
  <c r="BD4" i="7"/>
  <c r="W4" i="7"/>
  <c r="BC4" i="7"/>
  <c r="V4" i="7"/>
  <c r="BB4" i="7"/>
  <c r="U4" i="7"/>
  <c r="BA4" i="7"/>
  <c r="T4" i="7"/>
  <c r="AZ4" i="7"/>
  <c r="S4" i="7"/>
  <c r="AY4" i="7"/>
  <c r="O4" i="7"/>
  <c r="AU4" i="7"/>
  <c r="N4" i="7"/>
  <c r="AT4" i="7"/>
  <c r="M4" i="7"/>
  <c r="AS4" i="7"/>
  <c r="L4" i="7"/>
  <c r="AR4" i="7"/>
  <c r="K4" i="7"/>
  <c r="AQ4" i="7"/>
  <c r="H4" i="7"/>
  <c r="AN4" i="7"/>
  <c r="G4" i="7"/>
  <c r="AM4" i="7"/>
  <c r="C4" i="7"/>
  <c r="AI4" i="7"/>
  <c r="B4" i="7"/>
  <c r="AH4" i="7"/>
  <c r="A4" i="7"/>
  <c r="AG4" i="7"/>
  <c r="A3" i="7"/>
  <c r="AG3" i="7"/>
  <c r="B3" i="7"/>
  <c r="AH3" i="7"/>
  <c r="C3" i="7"/>
  <c r="AI3" i="7"/>
  <c r="D3" i="7"/>
  <c r="AJ3" i="7"/>
  <c r="E3" i="7"/>
  <c r="AK3" i="7"/>
  <c r="F3" i="7"/>
  <c r="AL3" i="7"/>
  <c r="G3" i="7"/>
  <c r="AM3" i="7"/>
  <c r="K3" i="7"/>
  <c r="AQ3" i="7"/>
  <c r="L3" i="7"/>
  <c r="AR3" i="7"/>
  <c r="M3" i="7"/>
  <c r="AS3" i="7"/>
  <c r="N3" i="7"/>
  <c r="AT3" i="7"/>
  <c r="O3" i="7"/>
  <c r="AU3" i="7"/>
  <c r="P3" i="7"/>
  <c r="AV3" i="7"/>
  <c r="Q3" i="7"/>
  <c r="AW3" i="7"/>
  <c r="R3" i="7"/>
  <c r="AX3" i="7"/>
  <c r="S3" i="7"/>
  <c r="AY3" i="7"/>
  <c r="W3" i="7"/>
  <c r="BC3" i="7"/>
  <c r="X3" i="7"/>
  <c r="BD3" i="7"/>
  <c r="Y3" i="7"/>
  <c r="BE3" i="7"/>
  <c r="Z3" i="7"/>
  <c r="BF3" i="7"/>
  <c r="AA3" i="7"/>
  <c r="BG3" i="7"/>
  <c r="AB3" i="7"/>
  <c r="BH3" i="7"/>
  <c r="AC3" i="7"/>
  <c r="BI3" i="7"/>
  <c r="AD3" i="7"/>
  <c r="BJ3" i="7"/>
  <c r="B2" i="8"/>
  <c r="B4" i="8"/>
  <c r="B3" i="8"/>
  <c r="B20" i="8"/>
  <c r="B19" i="8"/>
  <c r="B18" i="8"/>
  <c r="B12" i="8"/>
  <c r="B13" i="8"/>
  <c r="B10" i="8"/>
  <c r="B11" i="8"/>
  <c r="B9" i="8"/>
  <c r="B8" i="8"/>
  <c r="B7" i="8"/>
  <c r="B6" i="8"/>
  <c r="B5" i="8"/>
  <c r="R4" i="7"/>
  <c r="AX4" i="7"/>
  <c r="J4" i="7"/>
  <c r="AP4" i="7"/>
  <c r="I4" i="7"/>
  <c r="AO4" i="7"/>
  <c r="BD5" i="7"/>
  <c r="BB5" i="7"/>
  <c r="BG5" i="7"/>
  <c r="AY5" i="7"/>
  <c r="AL6" i="7"/>
  <c r="AJ6" i="7"/>
  <c r="AI6" i="7"/>
  <c r="BK6" i="7"/>
  <c r="AQ5" i="7"/>
  <c r="BH6" i="7"/>
  <c r="AX6" i="7"/>
  <c r="AN5" i="7"/>
  <c r="AU6" i="7"/>
  <c r="AR6" i="7"/>
  <c r="AY6" i="7"/>
  <c r="AJ5" i="7"/>
  <c r="AB5" i="7"/>
  <c r="W5" i="7"/>
  <c r="AT6" i="7"/>
  <c r="AS5" i="7"/>
  <c r="AC5" i="7"/>
  <c r="AE6" i="7"/>
  <c r="AA6" i="7"/>
  <c r="AP5" i="7"/>
  <c r="AO5" i="7"/>
  <c r="AA5" i="7"/>
  <c r="BA6" i="7"/>
  <c r="AG6" i="7"/>
  <c r="Z5" i="7"/>
  <c r="AM5" i="7"/>
  <c r="Y5" i="7"/>
  <c r="BF6" i="7"/>
  <c r="AS6" i="7"/>
  <c r="BA5" i="7"/>
  <c r="BJ6" i="7"/>
  <c r="BI6" i="7"/>
  <c r="BC6" i="7"/>
  <c r="AW6" i="7"/>
  <c r="AQ6" i="7"/>
  <c r="BF5" i="7"/>
  <c r="AZ5" i="7"/>
</calcChain>
</file>

<file path=xl/sharedStrings.xml><?xml version="1.0" encoding="utf-8"?>
<sst xmlns="http://schemas.openxmlformats.org/spreadsheetml/2006/main" count="582" uniqueCount="420">
  <si>
    <t>Investment Card</t>
  </si>
  <si>
    <t>Investment Description</t>
  </si>
  <si>
    <t>Law Card</t>
  </si>
  <si>
    <t>Law Description</t>
  </si>
  <si>
    <t>Scheme Card</t>
  </si>
  <si>
    <t>Scheme Description</t>
  </si>
  <si>
    <t>Fillibuster</t>
  </si>
  <si>
    <t>Full Coffers</t>
  </si>
  <si>
    <t>Fickle Mercenaries</t>
  </si>
  <si>
    <t xml:space="preserve">Decentralized Wealth </t>
  </si>
  <si>
    <t>Collection Stations</t>
  </si>
  <si>
    <t>Second Thoughts</t>
  </si>
  <si>
    <t>Double Agents</t>
  </si>
  <si>
    <t>Brown Nose</t>
  </si>
  <si>
    <t>Changing Times</t>
  </si>
  <si>
    <t>Questionable Reallocation</t>
  </si>
  <si>
    <t>Mysterious Windfalls</t>
  </si>
  <si>
    <t>Stable Economies</t>
  </si>
  <si>
    <t>Blackmail</t>
  </si>
  <si>
    <t>Lobbyists</t>
  </si>
  <si>
    <t>Unreasonable Distractions</t>
  </si>
  <si>
    <t>Invalid Paperwork</t>
  </si>
  <si>
    <t>Royal Amendment</t>
  </si>
  <si>
    <t>Loyal Citizenry</t>
  </si>
  <si>
    <t>Dangerous Monopolies</t>
  </si>
  <si>
    <t>Frivolous Pursuits</t>
  </si>
  <si>
    <t>Corporate Takeover</t>
  </si>
  <si>
    <t>Royal Bribes</t>
  </si>
  <si>
    <t>Economic Backbone</t>
  </si>
  <si>
    <t>Sabotage</t>
  </si>
  <si>
    <t>Collective Ownership</t>
  </si>
  <si>
    <t>Market Niche</t>
  </si>
  <si>
    <t>Aggressive Tactics</t>
  </si>
  <si>
    <t>Genius Commanders</t>
  </si>
  <si>
    <t>Home Defense</t>
  </si>
  <si>
    <t>Betrayal</t>
  </si>
  <si>
    <t>Damage Redemption</t>
  </si>
  <si>
    <t>Valuable Advisors</t>
  </si>
  <si>
    <t>Undeniable Advisors</t>
  </si>
  <si>
    <t>Chattering Windbags</t>
  </si>
  <si>
    <t>Heavy Overtme</t>
  </si>
  <si>
    <t>Realistic Priorities</t>
  </si>
  <si>
    <t>Bulk Purchaser</t>
  </si>
  <si>
    <t>Threat to the Throne</t>
  </si>
  <si>
    <t>Valuable Cargo</t>
  </si>
  <si>
    <t>Stone Foundations</t>
  </si>
  <si>
    <t>Elite Troops</t>
  </si>
  <si>
    <t>Environmental Guardians</t>
  </si>
  <si>
    <t>Bazaar</t>
  </si>
  <si>
    <t>Resilient Officer Corps</t>
  </si>
  <si>
    <t>Caravansaray</t>
  </si>
  <si>
    <t>Bloated Bureaucracy</t>
  </si>
  <si>
    <t>War Machines</t>
  </si>
  <si>
    <t>Police Force</t>
  </si>
  <si>
    <t>Equal Partners</t>
  </si>
  <si>
    <t>Criminal Identification</t>
  </si>
  <si>
    <t>Eager Laborers</t>
  </si>
  <si>
    <t>Honorable Marketplace</t>
  </si>
  <si>
    <t>Wary Guards</t>
  </si>
  <si>
    <t>Engaged Empire</t>
  </si>
  <si>
    <t>Information Security</t>
  </si>
  <si>
    <t>Suspicious Advisors</t>
  </si>
  <si>
    <t>Blood Pact</t>
  </si>
  <si>
    <t>Contingency Plans</t>
  </si>
  <si>
    <t>Expert Broker</t>
  </si>
  <si>
    <t>Worthless Procrastinators</t>
  </si>
  <si>
    <t>Codependent Relationship</t>
  </si>
  <si>
    <t>Dangerous Promises</t>
  </si>
  <si>
    <t>Large Middle Class</t>
  </si>
  <si>
    <t>Innovation Hub</t>
  </si>
  <si>
    <t>Action</t>
  </si>
  <si>
    <t>Description</t>
  </si>
  <si>
    <t>Classification</t>
  </si>
  <si>
    <t>Night Order</t>
  </si>
  <si>
    <t>Setup order</t>
  </si>
  <si>
    <t>Honors</t>
  </si>
  <si>
    <t>Battle</t>
  </si>
  <si>
    <t>Schemes</t>
  </si>
  <si>
    <t>Provincial</t>
  </si>
  <si>
    <t>Pay taxes for active Laws not obeyed and not already taxed to Royal Bank.</t>
  </si>
  <si>
    <t>Shuffle all decks</t>
  </si>
  <si>
    <t>1 per Battle lead</t>
  </si>
  <si>
    <t>Challenger player pays half LL Coins to Royal Bank</t>
  </si>
  <si>
    <t xml:space="preserve">Give 1 Honor to the player with the most Troops deployed. Break ties in favor of player who deployed first. </t>
  </si>
  <si>
    <t>Generate Greek army (12 per player)</t>
  </si>
  <si>
    <t>1 per Battle won</t>
  </si>
  <si>
    <t>Challenger declares their opponent. The opponent must have an unused leader.</t>
  </si>
  <si>
    <t>If the Scheme succeeds, the Target player performs the written action. If necessary, they roll another die to determine the card value (Scheme Card Roll).</t>
  </si>
  <si>
    <t>Build</t>
  </si>
  <si>
    <t>Create new Investments up to Leader's level, paying 1 Commodity per level</t>
  </si>
  <si>
    <t>Resolve Battle with $PD3 Greeks</t>
  </si>
  <si>
    <t>Generate Law deck (1 Law card per player)</t>
  </si>
  <si>
    <t>Challengee chooses unused Leader and pays half LL Coins to Royal Bank. If Challengee cannot pay for any Leader, they forfeit and take 1 Shame. Challengee may make an emergency Sell at Market Rate with no bonuses if they do not have enough Coins.</t>
  </si>
  <si>
    <t>Destroy 1 Greek and 1 Persian in the Battle until only 1 side remains</t>
  </si>
  <si>
    <t>Upgrade</t>
  </si>
  <si>
    <t>Collect Leaders</t>
  </si>
  <si>
    <t>Generate Royal Bank (3 Coins + 1 per player)</t>
  </si>
  <si>
    <t>1 for King's Favor</t>
  </si>
  <si>
    <t>Commission</t>
  </si>
  <si>
    <t>Gain a Leader at half Leader's Level</t>
  </si>
  <si>
    <t>Resolve Schemes</t>
  </si>
  <si>
    <t>Roll for Market Rate</t>
  </si>
  <si>
    <t>1 per Active sponsored Law</t>
  </si>
  <si>
    <t>Promote</t>
  </si>
  <si>
    <t>Increase the Leader's level by 1</t>
  </si>
  <si>
    <t>Winner takes their Coins back from the Royal Bank, half of opponent's Coins, and 1 Honor. Loser receives nothing.</t>
  </si>
  <si>
    <t>Brainstorm</t>
  </si>
  <si>
    <t>Draw Leader's Level cards from each deck</t>
  </si>
  <si>
    <t>Check for game end</t>
  </si>
  <si>
    <t>1 per every 3 Spies</t>
  </si>
  <si>
    <t>Tax</t>
  </si>
  <si>
    <t>Collect 1 Coin from each player (including yourself) for each of your active, sponsored Laws they are not obeying. Gain half of the collected Coins (up to Leader's Level) and put the remainder in the Royal Bank. Your active, sponsored Laws will not be taxed at the end of the round.</t>
  </si>
  <si>
    <t>Roll and adjust Market Rate by 1 in the direction of the result</t>
  </si>
  <si>
    <t>Give 3 Coins to each player</t>
  </si>
  <si>
    <t>1 per every 3 Troops</t>
  </si>
  <si>
    <t>Gain 2 Commodities for each of your Leader's Level</t>
  </si>
  <si>
    <t>Give 1 Spy to each player</t>
  </si>
  <si>
    <t>Negotiate</t>
  </si>
  <si>
    <t>Recruit</t>
  </si>
  <si>
    <t>Gain up to Leader's Level Troops and pay 1 Commodity per Troop gained</t>
  </si>
  <si>
    <t>Give 2 cards from each deck to each player</t>
  </si>
  <si>
    <t>Infiltrate</t>
  </si>
  <si>
    <t>Gain up to Leader's Level Spies and pay 1 Coin per Spy gained</t>
  </si>
  <si>
    <t>Give King's Favor to oldest player</t>
  </si>
  <si>
    <t>Buy</t>
  </si>
  <si>
    <t>Exchange up to Leader Level Coins for Commodities at Market Rate - 1 then decrease the Market Rate by 1</t>
  </si>
  <si>
    <t>Undermarket</t>
  </si>
  <si>
    <t>Reveal top Law in queue as deliberated Law</t>
  </si>
  <si>
    <t>Sell</t>
  </si>
  <si>
    <t>Exchange Commodities for up to Leader Level Coins at Market Rate + 1 then increase the Market Rate by 1</t>
  </si>
  <si>
    <t>Monetize</t>
  </si>
  <si>
    <t>Exchange Cards from your hand for up to Leader Level Coins at 6 - Market Rate</t>
  </si>
  <si>
    <t>Petition</t>
  </si>
  <si>
    <t>Add Leader's Level Law cards to bottom of Law deck</t>
  </si>
  <si>
    <t>Court</t>
  </si>
  <si>
    <t>Postpone</t>
  </si>
  <si>
    <t>Move the deliberated Law Leader's Level places back in the queue. Immediately flip up the next Law in the queue for deliberation.</t>
  </si>
  <si>
    <t>Flatter</t>
  </si>
  <si>
    <t>Gain the King's Favor &amp; gain half Leader's Level Coins from the Royal Bank. Players holding the King's Favor may not Flatter</t>
  </si>
  <si>
    <t>Exchange up to Leader Level Coins for Commodities with the Royal Bank at Market Rate then decrease the Market Rate by 1</t>
  </si>
  <si>
    <t>Exchange Commodities for up to Leader Level Coins with the Royal Bank at Market Rate then increase the Market Rate by 1</t>
  </si>
  <si>
    <t>Exchange Cards from your hand for up to Leader Level Coins at 7 - Market Rate</t>
  </si>
  <si>
    <t>Veteran</t>
  </si>
  <si>
    <t>Master of Lies</t>
  </si>
  <si>
    <t>Chief Scribe</t>
  </si>
  <si>
    <t>Head Banker</t>
  </si>
  <si>
    <t>Warmongerer</t>
  </si>
  <si>
    <t>Crime Lord</t>
  </si>
  <si>
    <t>Investment 1</t>
  </si>
  <si>
    <t>Investment 2</t>
  </si>
  <si>
    <t>Investment 3</t>
  </si>
  <si>
    <t>Investment 4</t>
  </si>
  <si>
    <t>Law</t>
  </si>
  <si>
    <t>Responsible For</t>
  </si>
  <si>
    <t>Troops</t>
  </si>
  <si>
    <t>Laws, taxes, sanctions</t>
  </si>
  <si>
    <t xml:space="preserve">Coins and Commodities </t>
  </si>
  <si>
    <t>Battlefield and dice</t>
  </si>
  <si>
    <t>Market Rate</t>
  </si>
  <si>
    <t>Royal Bank</t>
  </si>
  <si>
    <t>Greek Reserves</t>
  </si>
  <si>
    <t>Law Cards</t>
  </si>
  <si>
    <t>Investment Cards</t>
  </si>
  <si>
    <t>Scheme Cards</t>
  </si>
  <si>
    <t>Player Card Tags</t>
  </si>
  <si>
    <t>Persian Troop tokens</t>
  </si>
  <si>
    <t>Greek Troop tokens</t>
  </si>
  <si>
    <t>Spy tokens</t>
  </si>
  <si>
    <t>Commodity tokens</t>
  </si>
  <si>
    <t>5 Commodities tokens</t>
  </si>
  <si>
    <t>Coin tokens</t>
  </si>
  <si>
    <t>5 Coins tokens</t>
  </si>
  <si>
    <t>Court Board</t>
  </si>
  <si>
    <t>Province Board</t>
  </si>
  <si>
    <t>Battlefield Board</t>
  </si>
  <si>
    <t>Player Screens</t>
  </si>
  <si>
    <t>Player Favor tokens</t>
  </si>
  <si>
    <t>Shared 3-sided dice</t>
  </si>
  <si>
    <t>Shared 6-sided dice</t>
  </si>
  <si>
    <t>Player 6-sided dice</t>
  </si>
  <si>
    <t>Count</t>
  </si>
  <si>
    <t>Base Material</t>
  </si>
  <si>
    <t>Base Cost</t>
  </si>
  <si>
    <t>Deluxe material</t>
  </si>
  <si>
    <t>Deluxe cost</t>
  </si>
  <si>
    <t>Card</t>
  </si>
  <si>
    <t>Wood</t>
  </si>
  <si>
    <t>Metal</t>
  </si>
  <si>
    <t>Game Board</t>
  </si>
  <si>
    <t>Plastic</t>
  </si>
  <si>
    <t>Scheme Envelopes</t>
  </si>
  <si>
    <t>Cloth</t>
  </si>
  <si>
    <t>If Persians are victorious, destroy remaining Persians and an equal number of Greek Reinforcements. Give 1 Honor to each player with troops in the battle.</t>
  </si>
  <si>
    <t>Set aside $PD3 Greeks for the battle. These are the attacking Greeks.</t>
  </si>
  <si>
    <t>Game Modifications</t>
  </si>
  <si>
    <t>No setup Investment drafting</t>
  </si>
  <si>
    <t>Players with multiple roles choose the top two Investments of their primary role and the bottom two of their secondary role</t>
  </si>
  <si>
    <t>Deal 5 Investments to each player. Players will then draft 4 Investments, one at a time, and discard the remaining Investments.</t>
  </si>
  <si>
    <t>Each player distributes 8 levels between their 4 Investments and 8 levels between their 4 leaders.</t>
  </si>
  <si>
    <t>Increase existing Investment by Leader's Level, paying 1 Commodity per level</t>
  </si>
  <si>
    <t>Assign Laws in the queue in order of roles listed here, left to right</t>
  </si>
  <si>
    <t>All starting Leaders and Investments begin at level 2</t>
  </si>
  <si>
    <t>Rival</t>
  </si>
  <si>
    <t>Primary Ally</t>
  </si>
  <si>
    <t>Secondary Ally</t>
  </si>
  <si>
    <t>Market Rate starts at 3</t>
  </si>
  <si>
    <t>Veteran starts with King's Favor</t>
  </si>
  <si>
    <t>Deploy 2 Troops</t>
  </si>
  <si>
    <t>Recruit 2 Troops</t>
  </si>
  <si>
    <t>Undermarket Buy with 2 Coins</t>
  </si>
  <si>
    <t>Upgrade Eager Laborers by 2 Levels</t>
  </si>
  <si>
    <t>Postpone with Level 1 Leader</t>
  </si>
  <si>
    <t>Set Deliberated Laws to 2</t>
  </si>
  <si>
    <t>Petition both Laws</t>
  </si>
  <si>
    <t>Deploy 2 Troops with 1 extra</t>
  </si>
  <si>
    <t>Private Sell</t>
  </si>
  <si>
    <t>Undermarket Sell for 4 Coins</t>
  </si>
  <si>
    <t>Negotiate with Head Banker</t>
  </si>
  <si>
    <t>Negotiate with Chief Scribe</t>
  </si>
  <si>
    <t>Deploy</t>
  </si>
  <si>
    <t>Warmongerer Schemes against Chief Scribe with himself as Receiver</t>
  </si>
  <si>
    <t>Head Banker Schemes against Veteran with himself as Receiver</t>
  </si>
  <si>
    <t>Reassign King's Favor to Player obeying the most Laws</t>
  </si>
  <si>
    <t>Undermarket Sell</t>
  </si>
  <si>
    <t>1 per every Favor from your greatest ally</t>
  </si>
  <si>
    <t>Upgrade Collection Stations</t>
  </si>
  <si>
    <t>Instructions</t>
  </si>
  <si>
    <t>Spies, cards</t>
  </si>
  <si>
    <t>Round 1</t>
  </si>
  <si>
    <t>Round 2</t>
  </si>
  <si>
    <t>Round 3</t>
  </si>
  <si>
    <t>Court Buy with 2 Coins</t>
  </si>
  <si>
    <t>Irregular Partiality</t>
  </si>
  <si>
    <t>Accuse Veteran</t>
  </si>
  <si>
    <t>Players return one held Favor for each of their leader levels to each other if they have one</t>
  </si>
  <si>
    <t>Players each roll $LLD6 and count all dice with a result higher than 3 as 1 point, adding any Investment bonuses to the total. The player with the highest total wins the round. On ties, both players reroll. Repeat this for best 2 out of 3 rounds.</t>
  </si>
  <si>
    <t>Trials</t>
  </si>
  <si>
    <t>Declare a target Player, and resolve a Trial with an unused Leader of their choice</t>
  </si>
  <si>
    <t>Sue</t>
  </si>
  <si>
    <t>Date</t>
  </si>
  <si>
    <t>Players</t>
  </si>
  <si>
    <t>Virtual</t>
  </si>
  <si>
    <t>Training</t>
  </si>
  <si>
    <t>Greeks per Player</t>
  </si>
  <si>
    <t>Start Time</t>
  </si>
  <si>
    <t>End Time</t>
  </si>
  <si>
    <t>Round 1 End</t>
  </si>
  <si>
    <t>Round 2 End</t>
  </si>
  <si>
    <t>Round 3 End</t>
  </si>
  <si>
    <t>Round 4 End</t>
  </si>
  <si>
    <t>Round 5 End</t>
  </si>
  <si>
    <t>Round 6 End</t>
  </si>
  <si>
    <t>Round 7 End</t>
  </si>
  <si>
    <t>Round 8 End</t>
  </si>
  <si>
    <t>Round 9 End</t>
  </si>
  <si>
    <t>Round 10 End</t>
  </si>
  <si>
    <t>Greek army starts with 5 Greeks per player</t>
  </si>
  <si>
    <t>Prioritize</t>
  </si>
  <si>
    <t>Move a Law Leader's Level places forward in the queue, but never to become the Deliberated Law</t>
  </si>
  <si>
    <t>Fire Temple</t>
  </si>
  <si>
    <t>Skillful Orators</t>
  </si>
  <si>
    <t>1 per Sue won</t>
  </si>
  <si>
    <t>Setup End</t>
  </si>
  <si>
    <t>Scoring End</t>
  </si>
  <si>
    <t>Lowest Score</t>
  </si>
  <si>
    <t>Highest Score</t>
  </si>
  <si>
    <t>Ratify deliberated Law and set value of next deliberated Law</t>
  </si>
  <si>
    <t>Courtroom Gambling</t>
  </si>
  <si>
    <t>Kingdom Advocates</t>
  </si>
  <si>
    <t>Exchange Alliance tokens with a Player of your choice. The chosen Player must place a Leader on this space. Both players then exchange up to the lowest LL tokens.</t>
  </si>
  <si>
    <t>Add 1 Coin per Player to Royal Bank</t>
  </si>
  <si>
    <t>Give 1 Troop per Player to each player</t>
  </si>
  <si>
    <t>Donate</t>
  </si>
  <si>
    <t>Pay up to Leader's Level Coins to the Royal Bank and immediately gain half the Coins paid in Honor</t>
  </si>
  <si>
    <t>Pay up to Leader's Level Coins to the Royal Bank and immediately gain half the Coins paid in Honor. Immediately demote the Leader used.</t>
  </si>
  <si>
    <t>Abusive Power</t>
  </si>
  <si>
    <t>Stalled Front</t>
  </si>
  <si>
    <t>Quality Strength</t>
  </si>
  <si>
    <t>Rallied Opposition</t>
  </si>
  <si>
    <t>Waning Support</t>
  </si>
  <si>
    <t>Send Troops up to Leader's Level to the Battlefield and gain half Troops in Coins</t>
  </si>
  <si>
    <t>Painful Progress</t>
  </si>
  <si>
    <t>If Greeks are victorious, give remaining attacking Greeks to the player who deployed the fewest Troops (break ties with deployment order then with a Tie Trial or agreement). That player destroys 1 Troop per attacking Greek or downgrades 1 investment by $D6 levels if they have no Troops.</t>
  </si>
  <si>
    <t>Move your foremost Law to the back of the Queue</t>
  </si>
  <si>
    <t>Humiliation</t>
  </si>
  <si>
    <t>Misaligned Strategy</t>
  </si>
  <si>
    <t>Target Player rolls a die. If the result is a 6 or is higher than half their Troops, the Scheme is executed. Otherwise, the Scheme fails. (Scheme Guard Roll)</t>
  </si>
  <si>
    <t>Deploy 2 Troops for no Coins.</t>
  </si>
  <si>
    <t>Court Sell for 2 Coins</t>
  </si>
  <si>
    <t>Private Sell for 3 Coins</t>
  </si>
  <si>
    <t>Flatter for 3 Coins</t>
  </si>
  <si>
    <t>Infiltrate 3 Spies</t>
  </si>
  <si>
    <t>Iron Command</t>
  </si>
  <si>
    <t>Negotiate with Veteran</t>
  </si>
  <si>
    <t>Increase Market Rate at Night</t>
  </si>
  <si>
    <t>Undermarket Monetize with Law and Scheme cards for 2 Coins</t>
  </si>
  <si>
    <t>Veteran schemes against Rival with himself as Receiver</t>
  </si>
  <si>
    <t>Court Donate</t>
  </si>
  <si>
    <t>Private Monetize</t>
  </si>
  <si>
    <t>Undermarket Donate</t>
  </si>
  <si>
    <t>Chief Scribe trades Undeniable Advisors with Veteran for Eager Youth using an Alliance Token</t>
  </si>
  <si>
    <t>Assassination Attempt</t>
  </si>
  <si>
    <t>Localized Famine</t>
  </si>
  <si>
    <t>Lose half your Commodities</t>
  </si>
  <si>
    <t>Highway Robbery</t>
  </si>
  <si>
    <t>Lose half your Coins</t>
  </si>
  <si>
    <t>Camp Plague</t>
  </si>
  <si>
    <t>Lose half your Troops</t>
  </si>
  <si>
    <t>Weakening Grip</t>
  </si>
  <si>
    <t>Lose half your Spies</t>
  </si>
  <si>
    <t>Corporate Espionage</t>
  </si>
  <si>
    <t>Disard half your cards of each type</t>
  </si>
  <si>
    <t>Culture Shift</t>
  </si>
  <si>
    <t>Blatant Extortion</t>
  </si>
  <si>
    <t>One Man's Trash</t>
  </si>
  <si>
    <t>Honorable Accountability</t>
  </si>
  <si>
    <t>Silver-Tongue</t>
  </si>
  <si>
    <t>Boasting Propaganda</t>
  </si>
  <si>
    <t>Build Level 2 Investment (Boasting Propaganda)</t>
  </si>
  <si>
    <t>Recruit 3 Troops</t>
  </si>
  <si>
    <t>Buy with 2 Coins</t>
  </si>
  <si>
    <t>Monetize for 1 Coin</t>
  </si>
  <si>
    <t>Brainstorm for 6 cards</t>
  </si>
  <si>
    <t>Brainstorm for 8 cards</t>
  </si>
  <si>
    <t>Negotiate with the Crime Lord</t>
  </si>
  <si>
    <t>Sue the Master of Lies</t>
  </si>
  <si>
    <t>Monetize Schemes and Laws for 2 Coins</t>
  </si>
  <si>
    <t>Pass</t>
  </si>
  <si>
    <t>Sue Crime Lord</t>
  </si>
  <si>
    <t>Collect</t>
  </si>
  <si>
    <t>Collect 4 Commodities</t>
  </si>
  <si>
    <t>Persian
Troops</t>
  </si>
  <si>
    <t>Mock Trials</t>
  </si>
  <si>
    <t>Inspiring Command</t>
  </si>
  <si>
    <t>Centralized Economy</t>
  </si>
  <si>
    <t>Partisan Contributions</t>
  </si>
  <si>
    <t>Plastic Magnet</t>
  </si>
  <si>
    <t>Plastic Mini</t>
  </si>
  <si>
    <t>Investment Max Level</t>
  </si>
  <si>
    <t>Move the Law one additional place forward in the queue for each card level during Prioritize</t>
  </si>
  <si>
    <t>Move the deliberated Law one additional place back in the queue for each card level during Postpone</t>
  </si>
  <si>
    <t>Gain one additional Coin for each card level during Flatter</t>
  </si>
  <si>
    <t xml:space="preserve">You may keep up to one additional Coin for each card level when Taxing other Players </t>
  </si>
  <si>
    <t>Gain one more Commodity per Coin for each card level when Buying from the Undermarket</t>
  </si>
  <si>
    <t>Add one additional Law card to the bottom of the queue for each card level during Petition</t>
  </si>
  <si>
    <t>Gain one more Commodity per Coin for each card level when Buying from the Court</t>
  </si>
  <si>
    <t>Gain one additional Coin from outside the Royal Bank for each card level when winning a Trial</t>
  </si>
  <si>
    <t>Spend one fewer Card per Coin for each card level when Monetizing in the Undermarket</t>
  </si>
  <si>
    <t>Draw one additional card from any decks for each card level during Brainstorm</t>
  </si>
  <si>
    <t>Purchase one Spy for each card level when targeted by a Scheme</t>
  </si>
  <si>
    <t>Purchase up to one additional Spy for each card level Infiltrate</t>
  </si>
  <si>
    <t>Purchase up to one additional Troop for each card level Recruit</t>
  </si>
  <si>
    <t xml:space="preserve">You may repeat Provincial Actions with Leaders that have at least level 7 - card level </t>
  </si>
  <si>
    <t>You may repeat one Court Action for each card level per round</t>
  </si>
  <si>
    <t>Trade up to one additional Coin for each card level when Buying from the Court</t>
  </si>
  <si>
    <t>Trade for up to one additional Coin for each card level when Selling to the Court</t>
  </si>
  <si>
    <t>Gain one additional Coin from the Royal Bank for each card level when Deploying Troops</t>
  </si>
  <si>
    <t>Provides private Buy Action at Market Rate + card level</t>
  </si>
  <si>
    <t>Provides private Sell Action at Market Rate - card level</t>
  </si>
  <si>
    <t>After deploying, purchase and immediately deploy up to one Troop for each card level, but no more than your deployed Troops.</t>
  </si>
  <si>
    <t>Convert one additional Coin during Court Donate</t>
  </si>
  <si>
    <t>Add one additional die for each card level to each Roll during a Trial</t>
  </si>
  <si>
    <t>Collect one additional Commodity for each card level during Collect</t>
  </si>
  <si>
    <t>Subtract the card level from Scheme Evasion rolls. An unmodified 6 always succeeds.</t>
  </si>
  <si>
    <t>Subtract the card level from Scheme Damage rolls</t>
  </si>
  <si>
    <t>Spend one fewer Commodity for each card level per Coin when Selling to the Undermarket</t>
  </si>
  <si>
    <t>Spend one fewer Commodity for each card level per Coin when Selling to the Court</t>
  </si>
  <si>
    <t>Trade up to one additional Coin for each card level when Buying from the Undermarket</t>
  </si>
  <si>
    <t>Trade for up to one additional Coin for each card level when Selling to the Undermarket</t>
  </si>
  <si>
    <t>Trade for up to one additional Coin for each card level when Monetizing in the Undermarket</t>
  </si>
  <si>
    <t>Provides private Monetize Action at Market Rate + card level</t>
  </si>
  <si>
    <t>Spend one fewer Card for each card level per Coin when Monetizing in the Court</t>
  </si>
  <si>
    <t>Trade for up to one additional Coin  for each card level when Monetizing in the Court</t>
  </si>
  <si>
    <t>Draw one additional card for each card level from the top of any discard pile during Brainstorm</t>
  </si>
  <si>
    <t>Convert one additional Coin for each card level during Undermarket Donate</t>
  </si>
  <si>
    <t>You may pay 7 - the card level Commodities to repeat Undermarket Actions</t>
  </si>
  <si>
    <t>Deploy one additional Troop for each card level during Deploy</t>
  </si>
  <si>
    <t>The Royal Bank must have at least one Coin per card level or all Players suffer sanctions on Undermarket Actions</t>
  </si>
  <si>
    <t>The Royal Bank may not have more than one Coin per card level or all Players suffer sanctions on Undermarket Actions</t>
  </si>
  <si>
    <t>Change the boundary of an active Law</t>
  </si>
  <si>
    <t>Each Player must have at least 3 + card level Investments or they will suffer sanctions on Commission</t>
  </si>
  <si>
    <t>No Player may have more than 3 + card level Investments or they will suffer sanctions on Commission</t>
  </si>
  <si>
    <t>Each Player must Sue using a Leader with at least the card level this round or they will suffer sanctions on Deploy</t>
  </si>
  <si>
    <t>No Player may Sue using a Leader higher than the card level this round or they will suffer sanctions on Deploy</t>
  </si>
  <si>
    <t>Each Player must have an Investment with at least the card level or they will suffer sanctions on Infiltrate</t>
  </si>
  <si>
    <t>No Player may have an Investment higher than the card level or they will suffer sanctions on Infiltrate</t>
  </si>
  <si>
    <t>Each Player must deploy at least one Troop per card level or they will suffer sanctions on Petition</t>
  </si>
  <si>
    <t>No Player may deploy more than one Troop per card level or they will suffer sanctions on Petition</t>
  </si>
  <si>
    <t>Each Player must have at least one sponsored Law per card level in the Edicts or in the Queue or they will suffer sanctions on Tax</t>
  </si>
  <si>
    <t>No Player may have more than one sponsored Law per card level in the Edicts or in the queue or they will suffer sanctions on Tax</t>
  </si>
  <si>
    <t>Each Player must have a Leader with at least the card level or they will suffer sanctions on Sue</t>
  </si>
  <si>
    <t>No Player may have a Leader higher than the card level or they will suffer sanctions on Sue</t>
  </si>
  <si>
    <t>Each Player must Collect at least one Commodity per card level this round or they will suffer sanctions on Recruit</t>
  </si>
  <si>
    <t>No Player may Collect more than one Commodity per card level this round or they will suffer sanctions on Recruit</t>
  </si>
  <si>
    <t>Each Player must have at least 3 + card level Leaders or they will suffer sanctions on Build &amp; Upgrade</t>
  </si>
  <si>
    <t>No Player may have more than 3 + card level Leaders or they will suffer sanctions on Build &amp; Upgrade</t>
  </si>
  <si>
    <t>Each Player must have at least one Troop per card level or they will suffer sanctions on Collect</t>
  </si>
  <si>
    <t>No Player may have more than one Troop per card level or they will suffer sanctions on Collect</t>
  </si>
  <si>
    <t>At least one Player per card level must use Undermarket Actions or all Players suffer sanctions on Prioritize</t>
  </si>
  <si>
    <t>No more than one Player per card level may use Undermarket Actions or all Players suffer sanctions on Prioritize</t>
  </si>
  <si>
    <t>At least one Player per card level must use Court Actions or all Players suffer sanctions on Flatter</t>
  </si>
  <si>
    <t>No more than one Player per card level may use Court Actions or all Players suffer sanctions on Flatter</t>
  </si>
  <si>
    <t>Each Player must have at least one Card per card level of each type in hand or they will suffer sanctions on Monetize</t>
  </si>
  <si>
    <t>No Player may have more than one Card per card level of each type in their hand or they will suffer sanctions on Monetize</t>
  </si>
  <si>
    <t>Each Player must Deploy at least one Troop per card level or they will suffer sanctions on Donate</t>
  </si>
  <si>
    <t>No Player may Deploy more than one Troop per card level or they will suffer sanctions on Donate</t>
  </si>
  <si>
    <t>Each Player must Donate at least one Coin per card level or they will suffer sanctions on Postpone &amp; Prioritize</t>
  </si>
  <si>
    <t>No Player may Donate more than one Coin per card level or they will suffer sanctions on Postpone &amp; Prioritize</t>
  </si>
  <si>
    <t>Give 2d6 Troops to the Receiver</t>
  </si>
  <si>
    <t>Give d6 Coins to the Receiver. Perform an Emergency Trade if needed.</t>
  </si>
  <si>
    <t>Give d6 Spies to the Receiver</t>
  </si>
  <si>
    <t>Give d6 random Cards of each type from your hand to the Receiver</t>
  </si>
  <si>
    <t>Downgrade an Investment by d6 levels</t>
  </si>
  <si>
    <t>Demote a Leader at level d6 by half and send it to the Receiver</t>
  </si>
  <si>
    <t>Demote a Leader by d6 levels</t>
  </si>
  <si>
    <t>Move your foremost Law d6 spaces back in the Queue</t>
  </si>
  <si>
    <t>Move d6 of your Laws each one space back in the Queue</t>
  </si>
  <si>
    <t>Pay d6 Coins to the holder of the King's Favor then give the King's Favor to the Receiver. Perform an Emergency Trade if needed.</t>
  </si>
  <si>
    <t>Give 2d6 Commodities to the Receiver</t>
  </si>
  <si>
    <t>Downgrade an Investment at or above level d6 by half and send it to the Receiver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</si>
</sst>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F800]dddd\,\ mmmm\ dd\,\ yyyy"/>
    <numFmt numFmtId="165" formatCode="[$-F400]h:mm:ss\ AM/PM"/>
  </numFmts>
  <fonts count="8" x14ac:knownFonts="1">
    <font>
      <sz val="11"/>
      <color theme="1"/>
      <name val="Aptos Narrow"/>
      <family val="2"/>
      <scheme val="minor"/>
    </font>
    <font>
      <sz val="20"/>
      <color theme="1"/>
      <name val="Aptos Narrow"/>
      <family val="2"/>
      <scheme val="minor"/>
    </font>
    <font>
      <sz val="28"/>
      <color theme="1"/>
      <name val="Aptos Narrow"/>
      <family val="2"/>
      <scheme val="minor"/>
    </font>
    <font>
      <sz val="48"/>
      <color theme="1"/>
      <name val="Aptos Narrow"/>
      <family val="2"/>
      <scheme val="minor"/>
    </font>
    <font>
      <b/>
      <sz val="11"/>
      <color theme="1"/>
      <name val="Aptos Narrow"/>
      <family val="2"/>
      <scheme val="minor"/>
    </font>
    <font>
      <b/>
      <sz val="16"/>
      <color theme="1"/>
      <name val="Aptos Narrow"/>
      <family val="2"/>
      <scheme val="minor"/>
    </font>
    <font>
      <b/>
      <sz val="28"/>
      <color rgb="FFEFBF04"/>
      <name val="Aptos Narrow"/>
      <family val="2"/>
      <scheme val="minor"/>
    </font>
    <font>
      <sz val="28"/>
      <name val="Aptos Narrow"/>
      <family val="2"/>
      <scheme val="minor"/>
    </font>
  </fonts>
  <fills count="6">
    <fill>
      <patternFill patternType="none"/>
    </fill>
    <fill>
      <patternFill patternType="gray125"/>
    </fill>
    <fill>
      <patternFill patternType="solid">
        <fgColor theme="2" tint="-9.9978637043366805E-2"/>
        <bgColor indexed="64"/>
      </patternFill>
    </fill>
    <fill>
      <patternFill patternType="solid">
        <fgColor rgb="FFCC3333"/>
        <bgColor indexed="64"/>
      </patternFill>
    </fill>
    <fill>
      <patternFill patternType="solid">
        <fgColor rgb="FFEFBF04"/>
        <bgColor indexed="64"/>
      </patternFill>
    </fill>
    <fill>
      <patternFill patternType="solid">
        <fgColor rgb="FF1C39BB"/>
        <bgColor indexed="64"/>
      </patternFill>
    </fill>
  </fills>
  <borders count="5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thin">
        <color rgb="FF505050"/>
      </top>
      <bottom style="thin">
        <color rgb="FF505050"/>
      </bottom>
      <diagonal/>
    </border>
    <border>
      <left/>
      <right style="medium">
        <color indexed="64"/>
      </right>
      <top style="thin">
        <color rgb="FF505050"/>
      </top>
      <bottom style="thin">
        <color rgb="FF505050"/>
      </bottom>
      <diagonal/>
    </border>
    <border>
      <left/>
      <right style="medium">
        <color indexed="64"/>
      </right>
      <top/>
      <bottom style="thin">
        <color rgb="FF505050"/>
      </bottom>
      <diagonal/>
    </border>
    <border>
      <left style="medium">
        <color indexed="64"/>
      </left>
      <right style="medium">
        <color indexed="64"/>
      </right>
      <top/>
      <bottom style="thin">
        <color rgb="FF505050"/>
      </bottom>
      <diagonal/>
    </border>
    <border>
      <left style="medium">
        <color indexed="64"/>
      </left>
      <right style="medium">
        <color indexed="64"/>
      </right>
      <top style="thin">
        <color rgb="FF505050"/>
      </top>
      <bottom/>
      <diagonal/>
    </border>
    <border>
      <left style="medium">
        <color rgb="FF000000"/>
      </left>
      <right style="medium">
        <color rgb="FF000000"/>
      </right>
      <top style="medium">
        <color rgb="FF000000"/>
      </top>
      <bottom style="medium">
        <color rgb="FF000000"/>
      </bottom>
      <diagonal/>
    </border>
    <border>
      <left/>
      <right style="medium">
        <color indexed="64"/>
      </right>
      <top style="thin">
        <color rgb="FF505050"/>
      </top>
      <bottom/>
      <diagonal/>
    </border>
    <border>
      <left style="medium">
        <color rgb="FF000000"/>
      </left>
      <right style="medium">
        <color rgb="FF000000"/>
      </right>
      <top/>
      <bottom/>
      <diagonal/>
    </border>
    <border>
      <left/>
      <right style="medium">
        <color indexed="64"/>
      </right>
      <top/>
      <bottom style="thin">
        <color indexed="64"/>
      </bottom>
      <diagonal/>
    </border>
    <border>
      <left style="medium">
        <color rgb="FF000000"/>
      </left>
      <right/>
      <top/>
      <bottom/>
      <diagonal/>
    </border>
    <border>
      <left style="medium">
        <color rgb="FF000000"/>
      </left>
      <right/>
      <top style="medium">
        <color rgb="FF000000"/>
      </top>
      <bottom style="medium">
        <color rgb="FF000000"/>
      </bottom>
      <diagonal/>
    </border>
    <border>
      <left style="medium">
        <color indexed="64"/>
      </left>
      <right style="medium">
        <color rgb="FF000000"/>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medium">
        <color rgb="FF000000"/>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top/>
      <bottom style="thin">
        <color rgb="FF505050"/>
      </bottom>
      <diagonal/>
    </border>
    <border>
      <left style="medium">
        <color indexed="64"/>
      </left>
      <right/>
      <top style="thin">
        <color rgb="FF505050"/>
      </top>
      <bottom style="thin">
        <color rgb="FF505050"/>
      </bottom>
      <diagonal/>
    </border>
    <border>
      <left style="medium">
        <color indexed="64"/>
      </left>
      <right/>
      <top style="thin">
        <color rgb="FF505050"/>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rgb="FF505050"/>
      </top>
      <bottom style="medium">
        <color indexed="64"/>
      </bottom>
      <diagonal/>
    </border>
  </borders>
  <cellStyleXfs count="1">
    <xf numFmtId="0" fontId="0" fillId="0" borderId="0"/>
  </cellStyleXfs>
  <cellXfs count="116">
    <xf numFmtId="0" fontId="0" fillId="0" borderId="0" xfId="0"/>
    <xf numFmtId="0" fontId="0" fillId="0" borderId="0" xfId="0" applyAlignment="1">
      <alignment wrapText="1"/>
    </xf>
    <xf numFmtId="0" fontId="0" fillId="0" borderId="0" xfId="0" applyAlignment="1">
      <alignment vertical="top" wrapText="1"/>
    </xf>
    <xf numFmtId="0" fontId="0" fillId="0" borderId="0" xfId="0" applyAlignment="1">
      <alignment vertical="top"/>
    </xf>
    <xf numFmtId="0" fontId="2" fillId="0" borderId="0" xfId="0" applyFont="1"/>
    <xf numFmtId="0" fontId="2" fillId="0" borderId="1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3" xfId="0" applyFont="1" applyBorder="1" applyAlignment="1">
      <alignment horizontal="center" vertical="center" wrapText="1"/>
    </xf>
    <xf numFmtId="0" fontId="2" fillId="2" borderId="1" xfId="0" applyFont="1" applyFill="1" applyBorder="1" applyAlignment="1">
      <alignment horizontal="center" vertical="center" wrapText="1"/>
    </xf>
    <xf numFmtId="0" fontId="0" fillId="0" borderId="15" xfId="0" applyBorder="1" applyAlignment="1">
      <alignment vertical="top" wrapText="1"/>
    </xf>
    <xf numFmtId="0" fontId="0" fillId="0" borderId="15" xfId="0" applyBorder="1" applyAlignment="1">
      <alignment vertical="top"/>
    </xf>
    <xf numFmtId="0" fontId="0" fillId="0" borderId="16" xfId="0" applyBorder="1" applyAlignment="1">
      <alignment vertical="center"/>
    </xf>
    <xf numFmtId="0" fontId="0" fillId="0" borderId="17" xfId="0" applyBorder="1" applyAlignment="1">
      <alignment vertical="center"/>
    </xf>
    <xf numFmtId="0" fontId="0" fillId="0" borderId="18" xfId="0" applyBorder="1" applyAlignment="1">
      <alignment vertical="center"/>
    </xf>
    <xf numFmtId="0" fontId="0" fillId="0" borderId="19" xfId="0" applyBorder="1" applyAlignment="1">
      <alignment vertical="top" wrapText="1"/>
    </xf>
    <xf numFmtId="0" fontId="0" fillId="0" borderId="20" xfId="0" applyBorder="1" applyAlignment="1">
      <alignment vertical="center"/>
    </xf>
    <xf numFmtId="0" fontId="0" fillId="0" borderId="21" xfId="0" applyBorder="1" applyAlignment="1">
      <alignment wrapText="1"/>
    </xf>
    <xf numFmtId="0" fontId="0" fillId="0" borderId="22" xfId="0" applyBorder="1" applyAlignment="1">
      <alignment wrapText="1"/>
    </xf>
    <xf numFmtId="0" fontId="0" fillId="0" borderId="21" xfId="0" quotePrefix="1" applyBorder="1" applyAlignment="1">
      <alignment wrapText="1"/>
    </xf>
    <xf numFmtId="0" fontId="0" fillId="0" borderId="21" xfId="0" applyBorder="1"/>
    <xf numFmtId="0" fontId="0" fillId="0" borderId="22" xfId="0" applyBorder="1"/>
    <xf numFmtId="0" fontId="0" fillId="0" borderId="23" xfId="0" applyBorder="1" applyAlignment="1">
      <alignment vertical="center"/>
    </xf>
    <xf numFmtId="0" fontId="0" fillId="0" borderId="24" xfId="0" applyBorder="1" applyAlignment="1">
      <alignment vertical="top" wrapText="1"/>
    </xf>
    <xf numFmtId="0" fontId="0" fillId="0" borderId="25" xfId="0" applyBorder="1" applyAlignment="1">
      <alignment vertical="center"/>
    </xf>
    <xf numFmtId="0" fontId="0" fillId="0" borderId="26" xfId="0" applyBorder="1" applyAlignment="1">
      <alignment wrapText="1"/>
    </xf>
    <xf numFmtId="0" fontId="0" fillId="0" borderId="27" xfId="0" applyBorder="1" applyAlignment="1">
      <alignment horizontal="center" vertical="center"/>
    </xf>
    <xf numFmtId="0" fontId="0" fillId="0" borderId="28" xfId="0" applyBorder="1" applyAlignment="1">
      <alignment horizontal="center" vertical="center"/>
    </xf>
    <xf numFmtId="0" fontId="0" fillId="0" borderId="29" xfId="0" applyBorder="1" applyAlignment="1">
      <alignment horizontal="center" vertical="center"/>
    </xf>
    <xf numFmtId="0" fontId="0" fillId="0" borderId="1" xfId="0" applyBorder="1" applyAlignment="1">
      <alignment wrapText="1"/>
    </xf>
    <xf numFmtId="0" fontId="0" fillId="0" borderId="1" xfId="0" applyBorder="1"/>
    <xf numFmtId="0" fontId="2" fillId="2" borderId="13" xfId="0" applyFont="1" applyFill="1" applyBorder="1" applyAlignment="1">
      <alignment horizontal="left" vertical="center" wrapText="1"/>
    </xf>
    <xf numFmtId="0" fontId="0" fillId="0" borderId="11" xfId="0" applyBorder="1"/>
    <xf numFmtId="0" fontId="4" fillId="0" borderId="1" xfId="0" applyFont="1" applyBorder="1" applyAlignment="1">
      <alignment horizontal="center" vertical="center"/>
    </xf>
    <xf numFmtId="0" fontId="4" fillId="0" borderId="14" xfId="0" applyFont="1" applyBorder="1" applyAlignment="1">
      <alignment horizontal="center" vertical="center"/>
    </xf>
    <xf numFmtId="0" fontId="0" fillId="0" borderId="31" xfId="0" applyBorder="1" applyAlignment="1">
      <alignment horizontal="left" vertical="center"/>
    </xf>
    <xf numFmtId="0" fontId="0" fillId="0" borderId="32" xfId="0" applyBorder="1" applyAlignment="1">
      <alignment horizontal="left" vertical="center"/>
    </xf>
    <xf numFmtId="0" fontId="0" fillId="0" borderId="33" xfId="0" applyBorder="1" applyAlignment="1">
      <alignment horizontal="left" vertical="center"/>
    </xf>
    <xf numFmtId="0" fontId="0" fillId="0" borderId="34" xfId="0" applyBorder="1" applyAlignment="1">
      <alignment horizontal="left" vertical="center"/>
    </xf>
    <xf numFmtId="0" fontId="0" fillId="0" borderId="35" xfId="0" applyBorder="1" applyAlignment="1">
      <alignment horizontal="left" vertical="center"/>
    </xf>
    <xf numFmtId="0" fontId="0" fillId="0" borderId="36" xfId="0" applyBorder="1"/>
    <xf numFmtId="0" fontId="0" fillId="0" borderId="37" xfId="0" applyBorder="1" applyAlignment="1">
      <alignment horizontal="left" vertical="center"/>
    </xf>
    <xf numFmtId="0" fontId="0" fillId="0" borderId="38" xfId="0" applyBorder="1"/>
    <xf numFmtId="0" fontId="0" fillId="0" borderId="39" xfId="0" applyBorder="1"/>
    <xf numFmtId="0" fontId="0" fillId="0" borderId="6" xfId="0" applyBorder="1"/>
    <xf numFmtId="0" fontId="0" fillId="0" borderId="40" xfId="0" applyBorder="1"/>
    <xf numFmtId="0" fontId="5" fillId="0" borderId="10" xfId="0" applyFont="1" applyBorder="1" applyAlignment="1">
      <alignment horizontal="center" vertical="top" wrapText="1"/>
    </xf>
    <xf numFmtId="0" fontId="5" fillId="0" borderId="4" xfId="0" applyFont="1" applyBorder="1" applyAlignment="1">
      <alignment horizontal="center" vertical="top" wrapText="1"/>
    </xf>
    <xf numFmtId="0" fontId="5" fillId="0" borderId="3" xfId="0" applyFont="1" applyBorder="1" applyAlignment="1">
      <alignment horizontal="center" vertical="top" wrapText="1"/>
    </xf>
    <xf numFmtId="0" fontId="5" fillId="0" borderId="2" xfId="0" applyFont="1" applyBorder="1" applyAlignment="1">
      <alignment horizontal="center" vertical="top" wrapText="1"/>
    </xf>
    <xf numFmtId="0" fontId="0" fillId="0" borderId="5" xfId="0" applyBorder="1"/>
    <xf numFmtId="0" fontId="0" fillId="0" borderId="12" xfId="0" applyBorder="1" applyAlignment="1">
      <alignment horizontal="left" wrapText="1"/>
    </xf>
    <xf numFmtId="0" fontId="0" fillId="0" borderId="9" xfId="0" applyBorder="1" applyAlignment="1">
      <alignment horizontal="left" wrapText="1"/>
    </xf>
    <xf numFmtId="0" fontId="0" fillId="0" borderId="8" xfId="0" applyBorder="1" applyAlignment="1">
      <alignment horizontal="left" wrapText="1"/>
    </xf>
    <xf numFmtId="0" fontId="0" fillId="0" borderId="7" xfId="0" applyBorder="1" applyAlignment="1">
      <alignment horizontal="left" wrapText="1"/>
    </xf>
    <xf numFmtId="0" fontId="5" fillId="0" borderId="11" xfId="0" applyFont="1" applyBorder="1" applyAlignment="1">
      <alignment horizontal="center" vertical="top" wrapText="1"/>
    </xf>
    <xf numFmtId="0" fontId="5" fillId="0" borderId="6" xfId="0" applyFont="1" applyBorder="1" applyAlignment="1">
      <alignment horizontal="center" vertical="top" wrapText="1"/>
    </xf>
    <xf numFmtId="0" fontId="5" fillId="0" borderId="0" xfId="0" applyFont="1" applyAlignment="1">
      <alignment horizontal="center" vertical="top" wrapText="1"/>
    </xf>
    <xf numFmtId="0" fontId="5" fillId="0" borderId="5" xfId="0" applyFont="1" applyBorder="1" applyAlignment="1">
      <alignment horizontal="center" vertical="top" wrapText="1"/>
    </xf>
    <xf numFmtId="0" fontId="0" fillId="0" borderId="3" xfId="0" applyBorder="1"/>
    <xf numFmtId="0" fontId="0" fillId="0" borderId="4" xfId="0" applyBorder="1"/>
    <xf numFmtId="0" fontId="0" fillId="0" borderId="8" xfId="0" applyBorder="1"/>
    <xf numFmtId="0" fontId="0" fillId="0" borderId="9" xfId="0" applyBorder="1"/>
    <xf numFmtId="0" fontId="0" fillId="0" borderId="10" xfId="0" applyBorder="1"/>
    <xf numFmtId="0" fontId="0" fillId="0" borderId="12" xfId="0" applyBorder="1"/>
    <xf numFmtId="0" fontId="0" fillId="0" borderId="41" xfId="0" applyBorder="1"/>
    <xf numFmtId="0" fontId="0" fillId="0" borderId="42" xfId="0" applyBorder="1"/>
    <xf numFmtId="0" fontId="0" fillId="0" borderId="43" xfId="0" applyBorder="1"/>
    <xf numFmtId="0" fontId="0" fillId="0" borderId="13" xfId="0" applyBorder="1"/>
    <xf numFmtId="0" fontId="0" fillId="0" borderId="44" xfId="0" applyBorder="1"/>
    <xf numFmtId="0" fontId="0" fillId="0" borderId="45" xfId="0" applyBorder="1"/>
    <xf numFmtId="0" fontId="0" fillId="0" borderId="0" xfId="0" applyAlignment="1">
      <alignment horizontal="left" wrapText="1"/>
    </xf>
    <xf numFmtId="0" fontId="0" fillId="0" borderId="11" xfId="0" applyBorder="1" applyAlignment="1">
      <alignment horizontal="left" wrapText="1"/>
    </xf>
    <xf numFmtId="0" fontId="0" fillId="0" borderId="5" xfId="0" applyBorder="1" applyAlignment="1">
      <alignment horizontal="left" wrapText="1"/>
    </xf>
    <xf numFmtId="164" fontId="0" fillId="0" borderId="0" xfId="0" applyNumberFormat="1"/>
    <xf numFmtId="0" fontId="0" fillId="0" borderId="0" xfId="0">
      <extLst>
        <ext xmlns:xfpb="http://schemas.microsoft.com/office/spreadsheetml/2022/featurepropertybag" uri="{C7286773-470A-42A8-94C5-96B5CB345126}">
          <xfpb:xfComplement i="0"/>
        </ext>
      </extLst>
    </xf>
    <xf numFmtId="165" fontId="0" fillId="0" borderId="0" xfId="0" applyNumberFormat="1"/>
    <xf numFmtId="0" fontId="1" fillId="4" borderId="1" xfId="0" applyFont="1" applyFill="1" applyBorder="1" applyAlignment="1">
      <alignment horizontal="center" vertical="top"/>
    </xf>
    <xf numFmtId="0" fontId="0" fillId="0" borderId="46" xfId="0" applyBorder="1" applyAlignment="1">
      <alignment horizontal="left" vertical="center"/>
    </xf>
    <xf numFmtId="0" fontId="4" fillId="0" borderId="10" xfId="0" applyFont="1" applyBorder="1" applyAlignment="1">
      <alignment horizontal="center" vertical="center"/>
    </xf>
    <xf numFmtId="0" fontId="4" fillId="0" borderId="30" xfId="0" applyFont="1" applyBorder="1" applyAlignment="1">
      <alignment horizontal="center" vertical="center"/>
    </xf>
    <xf numFmtId="0" fontId="0" fillId="0" borderId="47" xfId="0" applyBorder="1" applyAlignment="1">
      <alignment horizontal="left" vertical="center"/>
    </xf>
    <xf numFmtId="0" fontId="0" fillId="0" borderId="48" xfId="0" applyBorder="1" applyAlignment="1">
      <alignment horizontal="left" vertical="center"/>
    </xf>
    <xf numFmtId="0" fontId="0" fillId="0" borderId="37" xfId="0" applyBorder="1" applyAlignment="1">
      <alignment horizontal="left" vertical="center" wrapText="1"/>
    </xf>
    <xf numFmtId="0" fontId="0" fillId="0" borderId="49" xfId="0" applyBorder="1"/>
    <xf numFmtId="0" fontId="0" fillId="0" borderId="50" xfId="0" applyBorder="1" applyAlignment="1">
      <alignment horizontal="left" vertical="center"/>
    </xf>
    <xf numFmtId="0" fontId="2" fillId="0" borderId="30"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wrapText="1"/>
    </xf>
    <xf numFmtId="0" fontId="2" fillId="0" borderId="7" xfId="0" applyFont="1" applyBorder="1" applyAlignment="1">
      <alignment horizontal="center" vertical="center" wrapText="1"/>
    </xf>
    <xf numFmtId="0" fontId="2" fillId="0" borderId="12" xfId="0" applyFont="1" applyBorder="1" applyAlignment="1">
      <alignment horizontal="center" vertical="center" wrapText="1"/>
    </xf>
    <xf numFmtId="0" fontId="2" fillId="0" borderId="8" xfId="0" applyFont="1" applyBorder="1" applyAlignment="1">
      <alignment horizontal="center" vertical="center" wrapText="1"/>
    </xf>
    <xf numFmtId="0" fontId="6" fillId="5" borderId="1" xfId="0" applyFont="1" applyFill="1" applyBorder="1" applyAlignment="1">
      <alignment horizontal="center" vertical="center" wrapText="1"/>
    </xf>
    <xf numFmtId="0" fontId="6" fillId="5" borderId="30"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5"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6" xfId="0" applyFont="1" applyFill="1" applyBorder="1" applyAlignment="1">
      <alignment horizontal="center" vertical="center"/>
    </xf>
    <xf numFmtId="0" fontId="6" fillId="5" borderId="12" xfId="0" applyFont="1" applyFill="1" applyBorder="1" applyAlignment="1">
      <alignment horizontal="center" vertical="center"/>
    </xf>
    <xf numFmtId="0" fontId="6" fillId="5" borderId="8" xfId="0" applyFont="1" applyFill="1" applyBorder="1" applyAlignment="1">
      <alignment horizontal="center" vertical="center"/>
    </xf>
    <xf numFmtId="0" fontId="7" fillId="3" borderId="1" xfId="0" applyFont="1" applyFill="1" applyBorder="1" applyAlignment="1">
      <alignment horizontal="center" vertical="center" wrapText="1"/>
    </xf>
    <xf numFmtId="0" fontId="0" fillId="0" borderId="0" xfId="0" applyBorder="1" applyAlignment="1">
      <alignment horizontal="center" vertical="center"/>
    </xf>
    <xf numFmtId="0" fontId="0" fillId="0" borderId="0" xfId="0" applyBorder="1"/>
    <xf numFmtId="0" fontId="0" fillId="0" borderId="0" xfId="0" applyBorder="1" applyAlignment="1">
      <alignment horizontal="left" vertical="center"/>
    </xf>
    <xf numFmtId="0" fontId="0" fillId="0" borderId="0" xfId="0" applyBorder="1" applyAlignment="1">
      <alignment horizontal="left" vertical="top" wrapText="1"/>
    </xf>
    <xf numFmtId="0" fontId="0" fillId="0" borderId="0" xfId="0" applyBorder="1" applyAlignment="1">
      <alignment vertical="center"/>
    </xf>
    <xf numFmtId="0" fontId="0" fillId="0" borderId="0" xfId="0" applyBorder="1" applyAlignment="1">
      <alignment vertical="top" wrapText="1"/>
    </xf>
    <xf numFmtId="0" fontId="0" fillId="0" borderId="0" xfId="0" applyBorder="1" applyAlignment="1">
      <alignment vertical="top"/>
    </xf>
    <xf numFmtId="0" fontId="0" fillId="0" borderId="0" xfId="0" applyBorder="1" applyAlignment="1">
      <alignment horizontal="left" vertical="center" wrapText="1"/>
    </xf>
    <xf numFmtId="0" fontId="0" fillId="0" borderId="0" xfId="0" applyBorder="1" applyAlignment="1">
      <alignment wrapText="1"/>
    </xf>
    <xf numFmtId="0" fontId="0" fillId="0" borderId="0" xfId="0" applyBorder="1" applyAlignment="1">
      <alignment horizontal="left" vertical="top"/>
    </xf>
    <xf numFmtId="0" fontId="3" fillId="4" borderId="30" xfId="0" applyFont="1" applyFill="1" applyBorder="1" applyAlignment="1">
      <alignment horizontal="center" vertical="center"/>
    </xf>
    <xf numFmtId="0" fontId="3" fillId="4" borderId="13" xfId="0" applyFont="1" applyFill="1" applyBorder="1" applyAlignment="1">
      <alignment horizontal="center" vertical="center"/>
    </xf>
    <xf numFmtId="0" fontId="3" fillId="4" borderId="14" xfId="0" applyFont="1" applyFill="1" applyBorder="1" applyAlignment="1">
      <alignment horizontal="center" vertical="center"/>
    </xf>
    <xf numFmtId="0" fontId="7" fillId="3" borderId="2" xfId="0" applyFont="1" applyFill="1" applyBorder="1" applyAlignment="1">
      <alignment horizontal="center" vertical="center"/>
    </xf>
    <xf numFmtId="0" fontId="7" fillId="3" borderId="3" xfId="0" applyFont="1" applyFill="1" applyBorder="1" applyAlignment="1">
      <alignment horizontal="center" vertical="center"/>
    </xf>
    <xf numFmtId="0" fontId="7" fillId="3" borderId="4" xfId="0" applyFont="1" applyFill="1" applyBorder="1" applyAlignment="1">
      <alignment horizontal="center" vertical="center"/>
    </xf>
  </cellXfs>
  <cellStyles count="1">
    <cellStyle name="Normal" xfId="0" builtinId="0"/>
  </cellStyles>
  <dxfs count="0"/>
  <tableStyles count="0" defaultTableStyle="TableStyleMedium2" defaultPivotStyle="PivotStyleMedium9"/>
  <colors>
    <mruColors>
      <color rgb="FFEFBF04"/>
      <color rgb="FF1C39BB"/>
      <color rgb="FFCC3333"/>
      <color rgb="FFFFFF66"/>
      <color rgb="FFE5CDA9"/>
      <color rgb="FFFFE26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calcChain" Target="calcChain.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microsoft.com/office/2022/11/relationships/FeaturePropertyBag" Target="featurePropertyBag/featurePropertyBag.xml" /><Relationship Id="rId5" Type="http://schemas.openxmlformats.org/officeDocument/2006/relationships/worksheet" Target="worksheets/sheet5.xml" /><Relationship Id="rId10" Type="http://schemas.openxmlformats.org/officeDocument/2006/relationships/sharedStrings" Target="sharedStrings.xml" /><Relationship Id="rId4" Type="http://schemas.openxmlformats.org/officeDocument/2006/relationships/worksheet" Target="worksheets/sheet4.xml" /><Relationship Id="rId9" Type="http://schemas.openxmlformats.org/officeDocument/2006/relationships/styles" Target="styles.xml" /></Relationships>
</file>

<file path=xl/drawings/drawing1.xml><?xml version="1.0" encoding="utf-8"?>
<xdr:wsDr xmlns:xdr="http://schemas.openxmlformats.org/drawingml/2006/spreadsheetDrawing" xmlns:a="http://schemas.openxmlformats.org/drawingml/2006/main">
  <xdr:twoCellAnchor>
    <xdr:from>
      <xdr:col>1</xdr:col>
      <xdr:colOff>7017</xdr:colOff>
      <xdr:row>7</xdr:row>
      <xdr:rowOff>1019175</xdr:rowOff>
    </xdr:from>
    <xdr:to>
      <xdr:col>1</xdr:col>
      <xdr:colOff>1433762</xdr:colOff>
      <xdr:row>7</xdr:row>
      <xdr:rowOff>1243263</xdr:rowOff>
    </xdr:to>
    <xdr:sp macro="" textlink="">
      <xdr:nvSpPr>
        <xdr:cNvPr id="11" name="TextBox 10">
          <a:extLst>
            <a:ext uri="{FF2B5EF4-FFF2-40B4-BE49-F238E27FC236}">
              <a16:creationId xmlns:a16="http://schemas.microsoft.com/office/drawing/2014/main" id="{263C6929-F455-4392-8FF0-0BAF1B2A42D9}"/>
            </a:ext>
          </a:extLst>
        </xdr:cNvPr>
        <xdr:cNvSpPr txBox="1"/>
      </xdr:nvSpPr>
      <xdr:spPr>
        <a:xfrm>
          <a:off x="2057399" y="9897478"/>
          <a:ext cx="1426745" cy="224088"/>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Commodities</a:t>
          </a:r>
        </a:p>
      </xdr:txBody>
    </xdr:sp>
    <xdr:clientData/>
  </xdr:twoCellAnchor>
  <xdr:twoCellAnchor>
    <xdr:from>
      <xdr:col>1</xdr:col>
      <xdr:colOff>1343025</xdr:colOff>
      <xdr:row>6</xdr:row>
      <xdr:rowOff>495300</xdr:rowOff>
    </xdr:from>
    <xdr:to>
      <xdr:col>1</xdr:col>
      <xdr:colOff>1657350</xdr:colOff>
      <xdr:row>6</xdr:row>
      <xdr:rowOff>1057275</xdr:rowOff>
    </xdr:to>
    <xdr:sp macro="" textlink="">
      <xdr:nvSpPr>
        <xdr:cNvPr id="8" name="Arrow: Up 7">
          <a:extLst>
            <a:ext uri="{FF2B5EF4-FFF2-40B4-BE49-F238E27FC236}">
              <a16:creationId xmlns:a16="http://schemas.microsoft.com/office/drawing/2014/main" id="{AB240F5A-E050-4CAD-8299-672EF9710C9D}"/>
            </a:ext>
          </a:extLst>
        </xdr:cNvPr>
        <xdr:cNvSpPr/>
      </xdr:nvSpPr>
      <xdr:spPr>
        <a:xfrm rot="10800000">
          <a:off x="1343025" y="4162425"/>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1371600</xdr:colOff>
      <xdr:row>6</xdr:row>
      <xdr:rowOff>0</xdr:rowOff>
    </xdr:from>
    <xdr:to>
      <xdr:col>1</xdr:col>
      <xdr:colOff>1685925</xdr:colOff>
      <xdr:row>6</xdr:row>
      <xdr:rowOff>0</xdr:rowOff>
    </xdr:to>
    <xdr:sp macro="" textlink="">
      <xdr:nvSpPr>
        <xdr:cNvPr id="2" name="Arrow: Up 1">
          <a:extLst>
            <a:ext uri="{FF2B5EF4-FFF2-40B4-BE49-F238E27FC236}">
              <a16:creationId xmlns:a16="http://schemas.microsoft.com/office/drawing/2014/main" id="{8C1A2B6F-B5E4-1A7D-62DE-49F55320D7CE}"/>
            </a:ext>
          </a:extLst>
        </xdr:cNvPr>
        <xdr:cNvSpPr/>
      </xdr:nvSpPr>
      <xdr:spPr>
        <a:xfrm rot="10800000">
          <a:off x="1371600" y="4286250"/>
          <a:ext cx="314325" cy="561975"/>
        </a:xfrm>
        <a:prstGeom prst="upArrow">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1352550</xdr:colOff>
      <xdr:row>6</xdr:row>
      <xdr:rowOff>257175</xdr:rowOff>
    </xdr:from>
    <xdr:to>
      <xdr:col>2</xdr:col>
      <xdr:colOff>1666875</xdr:colOff>
      <xdr:row>6</xdr:row>
      <xdr:rowOff>819150</xdr:rowOff>
    </xdr:to>
    <xdr:sp macro="" textlink="">
      <xdr:nvSpPr>
        <xdr:cNvPr id="3" name="Arrow: Up 2">
          <a:extLst>
            <a:ext uri="{FF2B5EF4-FFF2-40B4-BE49-F238E27FC236}">
              <a16:creationId xmlns:a16="http://schemas.microsoft.com/office/drawing/2014/main" id="{B8CFD001-AF76-40FD-8ED3-F45242A36DF9}"/>
            </a:ext>
          </a:extLst>
        </xdr:cNvPr>
        <xdr:cNvSpPr/>
      </xdr:nvSpPr>
      <xdr:spPr>
        <a:xfrm>
          <a:off x="3400425" y="4057650"/>
          <a:ext cx="314325" cy="561975"/>
        </a:xfrm>
        <a:prstGeom prst="upArrow">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1523999</xdr:colOff>
      <xdr:row>6</xdr:row>
      <xdr:rowOff>561974</xdr:rowOff>
    </xdr:from>
    <xdr:to>
      <xdr:col>2</xdr:col>
      <xdr:colOff>1914524</xdr:colOff>
      <xdr:row>6</xdr:row>
      <xdr:rowOff>952499</xdr:rowOff>
    </xdr:to>
    <xdr:sp macro="" textlink="">
      <xdr:nvSpPr>
        <xdr:cNvPr id="4" name="Rectangle: Rounded Corners 3">
          <a:extLst>
            <a:ext uri="{FF2B5EF4-FFF2-40B4-BE49-F238E27FC236}">
              <a16:creationId xmlns:a16="http://schemas.microsoft.com/office/drawing/2014/main" id="{F742FD8E-7C55-4DDF-9D45-246EB8EB4440}"/>
            </a:ext>
          </a:extLst>
        </xdr:cNvPr>
        <xdr:cNvSpPr/>
      </xdr:nvSpPr>
      <xdr:spPr>
        <a:xfrm>
          <a:off x="3571874" y="4362449"/>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1533525</xdr:colOff>
      <xdr:row>6</xdr:row>
      <xdr:rowOff>361950</xdr:rowOff>
    </xdr:from>
    <xdr:to>
      <xdr:col>1</xdr:col>
      <xdr:colOff>1924050</xdr:colOff>
      <xdr:row>6</xdr:row>
      <xdr:rowOff>752475</xdr:rowOff>
    </xdr:to>
    <xdr:sp macro="" textlink="">
      <xdr:nvSpPr>
        <xdr:cNvPr id="5" name="Rectangle: Rounded Corners 4">
          <a:extLst>
            <a:ext uri="{FF2B5EF4-FFF2-40B4-BE49-F238E27FC236}">
              <a16:creationId xmlns:a16="http://schemas.microsoft.com/office/drawing/2014/main" id="{196F261D-B7DD-43F5-A0C5-B26417634A62}"/>
            </a:ext>
          </a:extLst>
        </xdr:cNvPr>
        <xdr:cNvSpPr/>
      </xdr:nvSpPr>
      <xdr:spPr>
        <a:xfrm>
          <a:off x="1533525" y="4162425"/>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1466850</xdr:colOff>
      <xdr:row>6</xdr:row>
      <xdr:rowOff>0</xdr:rowOff>
    </xdr:from>
    <xdr:to>
      <xdr:col>3</xdr:col>
      <xdr:colOff>1857375</xdr:colOff>
      <xdr:row>6</xdr:row>
      <xdr:rowOff>0</xdr:rowOff>
    </xdr:to>
    <xdr:sp macro="" textlink="">
      <xdr:nvSpPr>
        <xdr:cNvPr id="6" name="Rectangle: Rounded Corners 5">
          <a:extLst>
            <a:ext uri="{FF2B5EF4-FFF2-40B4-BE49-F238E27FC236}">
              <a16:creationId xmlns:a16="http://schemas.microsoft.com/office/drawing/2014/main" id="{E9BD60E1-C017-41A3-80B3-238A386D4FB9}"/>
            </a:ext>
          </a:extLst>
        </xdr:cNvPr>
        <xdr:cNvSpPr/>
      </xdr:nvSpPr>
      <xdr:spPr>
        <a:xfrm>
          <a:off x="5562600" y="4267200"/>
          <a:ext cx="390525" cy="390525"/>
        </a:xfrm>
        <a:prstGeom prst="roundRect">
          <a:avLst>
            <a:gd name="adj" fmla="val 25491"/>
          </a:avLst>
        </a:prstGeom>
        <a:solidFill>
          <a:schemeClr val="bg2">
            <a:lumMod val="9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3</xdr:col>
      <xdr:colOff>1504950</xdr:colOff>
      <xdr:row>6</xdr:row>
      <xdr:rowOff>457200</xdr:rowOff>
    </xdr:from>
    <xdr:to>
      <xdr:col>3</xdr:col>
      <xdr:colOff>1895475</xdr:colOff>
      <xdr:row>6</xdr:row>
      <xdr:rowOff>847725</xdr:rowOff>
    </xdr:to>
    <xdr:sp macro="" textlink="">
      <xdr:nvSpPr>
        <xdr:cNvPr id="7" name="Rectangle: Rounded Corners 6">
          <a:extLst>
            <a:ext uri="{FF2B5EF4-FFF2-40B4-BE49-F238E27FC236}">
              <a16:creationId xmlns:a16="http://schemas.microsoft.com/office/drawing/2014/main" id="{480BC858-CF23-426C-BC86-E5772776D7F9}"/>
            </a:ext>
          </a:extLst>
        </xdr:cNvPr>
        <xdr:cNvSpPr/>
      </xdr:nvSpPr>
      <xdr:spPr>
        <a:xfrm>
          <a:off x="5600700" y="2295525"/>
          <a:ext cx="390525" cy="390525"/>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0" baseline="0">
              <a:solidFill>
                <a:schemeClr val="tx1"/>
              </a:solidFill>
            </a:rPr>
            <a:t>-</a:t>
          </a:r>
          <a:r>
            <a:rPr lang="en-US" sz="1200" b="1" i="0" baseline="0">
              <a:solidFill>
                <a:schemeClr val="tx1"/>
              </a:solidFill>
            </a:rPr>
            <a:t>1</a:t>
          </a:r>
          <a:endParaRPr lang="en-US" sz="1100" b="1" i="0" baseline="0">
            <a:solidFill>
              <a:schemeClr val="tx1"/>
            </a:solidFill>
          </a:endParaRPr>
        </a:p>
      </xdr:txBody>
    </xdr:sp>
    <xdr:clientData/>
  </xdr:twoCellAnchor>
  <xdr:twoCellAnchor>
    <xdr:from>
      <xdr:col>1</xdr:col>
      <xdr:colOff>333375</xdr:colOff>
      <xdr:row>7</xdr:row>
      <xdr:rowOff>352425</xdr:rowOff>
    </xdr:from>
    <xdr:to>
      <xdr:col>1</xdr:col>
      <xdr:colOff>973455</xdr:colOff>
      <xdr:row>7</xdr:row>
      <xdr:rowOff>992505</xdr:rowOff>
    </xdr:to>
    <xdr:sp macro="" textlink="">
      <xdr:nvSpPr>
        <xdr:cNvPr id="9" name="Rectangle: Rounded Corners 8">
          <a:extLst>
            <a:ext uri="{FF2B5EF4-FFF2-40B4-BE49-F238E27FC236}">
              <a16:creationId xmlns:a16="http://schemas.microsoft.com/office/drawing/2014/main" id="{AFE0C256-296D-47F7-9153-C7207D362CE9}"/>
            </a:ext>
          </a:extLst>
        </xdr:cNvPr>
        <xdr:cNvSpPr/>
      </xdr:nvSpPr>
      <xdr:spPr>
        <a:xfrm>
          <a:off x="847725" y="3390900"/>
          <a:ext cx="640080" cy="640080"/>
        </a:xfrm>
        <a:prstGeom prst="roundRect">
          <a:avLst>
            <a:gd name="adj" fmla="val 25491"/>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1104900</xdr:colOff>
      <xdr:row>7</xdr:row>
      <xdr:rowOff>476250</xdr:rowOff>
    </xdr:from>
    <xdr:to>
      <xdr:col>1</xdr:col>
      <xdr:colOff>1714499</xdr:colOff>
      <xdr:row>7</xdr:row>
      <xdr:rowOff>866775</xdr:rowOff>
    </xdr:to>
    <xdr:sp macro="" textlink="">
      <xdr:nvSpPr>
        <xdr:cNvPr id="10" name="TextBox 9">
          <a:extLst>
            <a:ext uri="{FF2B5EF4-FFF2-40B4-BE49-F238E27FC236}">
              <a16:creationId xmlns:a16="http://schemas.microsoft.com/office/drawing/2014/main" id="{A8B22148-4BC1-4117-A068-36095DF6367C}"/>
            </a:ext>
          </a:extLst>
        </xdr:cNvPr>
        <xdr:cNvSpPr txBox="1"/>
      </xdr:nvSpPr>
      <xdr:spPr>
        <a:xfrm>
          <a:off x="1619250" y="3514725"/>
          <a:ext cx="609599" cy="39052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2000" b="0"/>
            <a:t>=</a:t>
          </a:r>
          <a:r>
            <a:rPr lang="en-US" sz="2000" b="0" baseline="0"/>
            <a:t> 1</a:t>
          </a:r>
        </a:p>
      </xdr:txBody>
    </xdr:sp>
    <xdr:clientData/>
  </xdr:twoCellAnchor>
  <xdr:twoCellAnchor>
    <xdr:from>
      <xdr:col>1</xdr:col>
      <xdr:colOff>1114925</xdr:colOff>
      <xdr:row>7</xdr:row>
      <xdr:rowOff>780549</xdr:rowOff>
    </xdr:from>
    <xdr:to>
      <xdr:col>1</xdr:col>
      <xdr:colOff>1754604</xdr:colOff>
      <xdr:row>7</xdr:row>
      <xdr:rowOff>961524</xdr:rowOff>
    </xdr:to>
    <xdr:sp macro="" textlink="">
      <xdr:nvSpPr>
        <xdr:cNvPr id="12" name="TextBox 11">
          <a:extLst>
            <a:ext uri="{FF2B5EF4-FFF2-40B4-BE49-F238E27FC236}">
              <a16:creationId xmlns:a16="http://schemas.microsoft.com/office/drawing/2014/main" id="{99E6AFCB-FFB4-451E-AA30-683E4746CB82}"/>
            </a:ext>
          </a:extLst>
        </xdr:cNvPr>
        <xdr:cNvSpPr txBox="1"/>
      </xdr:nvSpPr>
      <xdr:spPr>
        <a:xfrm>
          <a:off x="3165307" y="9658852"/>
          <a:ext cx="639679" cy="180975"/>
        </a:xfrm>
        <a:prstGeom prst="rect">
          <a:avLst/>
        </a:prstGeom>
        <a:solidFill>
          <a:srgbClr val="EFBF04"/>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Coin</a:t>
          </a:r>
          <a:endParaRPr lang="en-US" sz="1100"/>
        </a:p>
      </xdr:txBody>
    </xdr:sp>
    <xdr:clientData/>
  </xdr:twoCellAnchor>
  <xdr:twoCellAnchor>
    <xdr:from>
      <xdr:col>1</xdr:col>
      <xdr:colOff>1323975</xdr:colOff>
      <xdr:row>8</xdr:row>
      <xdr:rowOff>514350</xdr:rowOff>
    </xdr:from>
    <xdr:to>
      <xdr:col>1</xdr:col>
      <xdr:colOff>1638300</xdr:colOff>
      <xdr:row>8</xdr:row>
      <xdr:rowOff>1076325</xdr:rowOff>
    </xdr:to>
    <xdr:sp macro="" textlink="">
      <xdr:nvSpPr>
        <xdr:cNvPr id="13" name="Arrow: Up 12">
          <a:extLst>
            <a:ext uri="{FF2B5EF4-FFF2-40B4-BE49-F238E27FC236}">
              <a16:creationId xmlns:a16="http://schemas.microsoft.com/office/drawing/2014/main" id="{4A7A64E9-7CF2-4746-A30D-260518DB83F7}"/>
            </a:ext>
          </a:extLst>
        </xdr:cNvPr>
        <xdr:cNvSpPr/>
      </xdr:nvSpPr>
      <xdr:spPr>
        <a:xfrm rot="10800000">
          <a:off x="1838325" y="22860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1343025</xdr:colOff>
      <xdr:row>8</xdr:row>
      <xdr:rowOff>285750</xdr:rowOff>
    </xdr:from>
    <xdr:to>
      <xdr:col>2</xdr:col>
      <xdr:colOff>1657350</xdr:colOff>
      <xdr:row>8</xdr:row>
      <xdr:rowOff>847725</xdr:rowOff>
    </xdr:to>
    <xdr:sp macro="" textlink="">
      <xdr:nvSpPr>
        <xdr:cNvPr id="14" name="Arrow: Up 13">
          <a:extLst>
            <a:ext uri="{FF2B5EF4-FFF2-40B4-BE49-F238E27FC236}">
              <a16:creationId xmlns:a16="http://schemas.microsoft.com/office/drawing/2014/main" id="{E78AC844-E51C-4855-95DE-96AA56587902}"/>
            </a:ext>
          </a:extLst>
        </xdr:cNvPr>
        <xdr:cNvSpPr/>
      </xdr:nvSpPr>
      <xdr:spPr>
        <a:xfrm>
          <a:off x="3905250" y="2057400"/>
          <a:ext cx="314325" cy="561975"/>
        </a:xfrm>
        <a:prstGeom prst="upArrow">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 /></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 /></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 /></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 /><Relationship Id="rId1" Type="http://schemas.openxmlformats.org/officeDocument/2006/relationships/printerSettings" Target="../printerSettings/printerSettings4.bin" /></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 /></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 /></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9"/>
  <sheetViews>
    <sheetView tabSelected="1" topLeftCell="C1" workbookViewId="0">
      <selection activeCell="E13" sqref="E13"/>
    </sheetView>
  </sheetViews>
  <sheetFormatPr defaultColWidth="9.14453125" defaultRowHeight="15" x14ac:dyDescent="0.2"/>
  <cols>
    <col min="1" max="1" width="24.6171875" style="101" bestFit="1" customWidth="1"/>
    <col min="2" max="2" width="36.58984375" style="101" bestFit="1" customWidth="1"/>
    <col min="3" max="3" width="19.50390625" style="101" bestFit="1" customWidth="1"/>
    <col min="4" max="4" width="23.5390625" style="101" bestFit="1" customWidth="1"/>
    <col min="5" max="5" width="36.58984375" style="101" bestFit="1" customWidth="1"/>
    <col min="6" max="6" width="24.88671875" style="101" bestFit="1" customWidth="1"/>
    <col min="7" max="7" width="36.58984375" style="101" bestFit="1" customWidth="1"/>
    <col min="8" max="8" width="13.046875" style="101" bestFit="1" customWidth="1"/>
    <col min="9" max="9" width="36.58984375" style="101" bestFit="1" customWidth="1"/>
    <col min="10" max="10" width="12.5078125" style="101" bestFit="1" customWidth="1"/>
    <col min="11" max="11" width="36.18359375" style="101" bestFit="1" customWidth="1"/>
    <col min="12" max="12" width="39.01171875" style="101" customWidth="1"/>
    <col min="13" max="16384" width="9.14453125" style="101"/>
  </cols>
  <sheetData>
    <row r="1" spans="1:10" x14ac:dyDescent="0.2">
      <c r="A1" s="100" t="s">
        <v>0</v>
      </c>
      <c r="B1" s="100" t="s">
        <v>1</v>
      </c>
      <c r="C1" s="100" t="s">
        <v>338</v>
      </c>
      <c r="D1" s="100" t="s">
        <v>2</v>
      </c>
      <c r="E1" s="100" t="s">
        <v>3</v>
      </c>
      <c r="F1" s="100" t="s">
        <v>4</v>
      </c>
      <c r="G1" s="100" t="s">
        <v>5</v>
      </c>
      <c r="H1" s="100"/>
      <c r="I1" s="100"/>
      <c r="J1" s="100"/>
    </row>
    <row r="2" spans="1:10" ht="41.25" x14ac:dyDescent="0.2">
      <c r="A2" s="102" t="s">
        <v>6</v>
      </c>
      <c r="B2" s="103" t="s">
        <v>340</v>
      </c>
      <c r="C2" s="103">
        <v>6</v>
      </c>
      <c r="D2" s="102" t="s">
        <v>7</v>
      </c>
      <c r="E2" s="103" t="s">
        <v>377</v>
      </c>
      <c r="F2" s="102" t="s">
        <v>8</v>
      </c>
      <c r="G2" s="103" t="s">
        <v>408</v>
      </c>
      <c r="H2" s="104"/>
      <c r="I2" s="105"/>
      <c r="J2" s="104"/>
    </row>
    <row r="3" spans="1:10" ht="41.25" x14ac:dyDescent="0.2">
      <c r="A3" s="102" t="s">
        <v>260</v>
      </c>
      <c r="B3" s="103" t="s">
        <v>339</v>
      </c>
      <c r="C3" s="103">
        <v>6</v>
      </c>
      <c r="D3" s="102" t="s">
        <v>9</v>
      </c>
      <c r="E3" s="103" t="s">
        <v>378</v>
      </c>
      <c r="F3" s="102" t="s">
        <v>313</v>
      </c>
      <c r="G3" s="103" t="s">
        <v>409</v>
      </c>
      <c r="H3" s="104"/>
      <c r="I3" s="105"/>
      <c r="J3" s="104"/>
    </row>
    <row r="4" spans="1:10" ht="27.75" x14ac:dyDescent="0.2">
      <c r="A4" s="102" t="s">
        <v>10</v>
      </c>
      <c r="B4" s="103" t="s">
        <v>342</v>
      </c>
      <c r="C4" s="103">
        <v>6</v>
      </c>
      <c r="D4" s="102" t="s">
        <v>11</v>
      </c>
      <c r="E4" s="103" t="s">
        <v>379</v>
      </c>
      <c r="F4" s="102" t="s">
        <v>12</v>
      </c>
      <c r="G4" s="103" t="s">
        <v>410</v>
      </c>
      <c r="H4" s="104"/>
      <c r="I4" s="106"/>
      <c r="J4" s="104"/>
    </row>
    <row r="5" spans="1:10" ht="27.75" x14ac:dyDescent="0.2">
      <c r="A5" s="107" t="s">
        <v>13</v>
      </c>
      <c r="B5" s="103" t="s">
        <v>341</v>
      </c>
      <c r="C5" s="103">
        <v>3</v>
      </c>
      <c r="D5" s="102" t="s">
        <v>14</v>
      </c>
      <c r="E5" s="103" t="s">
        <v>379</v>
      </c>
      <c r="F5" s="102" t="s">
        <v>15</v>
      </c>
      <c r="G5" s="103" t="s">
        <v>418</v>
      </c>
      <c r="H5" s="104"/>
      <c r="I5" s="105"/>
      <c r="J5" s="104"/>
    </row>
    <row r="6" spans="1:10" ht="41.25" x14ac:dyDescent="0.2">
      <c r="A6" s="102" t="s">
        <v>16</v>
      </c>
      <c r="B6" s="103" t="s">
        <v>343</v>
      </c>
      <c r="C6" s="103">
        <v>3</v>
      </c>
      <c r="D6" s="102" t="s">
        <v>17</v>
      </c>
      <c r="E6" s="103" t="s">
        <v>380</v>
      </c>
      <c r="F6" s="102" t="s">
        <v>310</v>
      </c>
      <c r="G6" s="103" t="s">
        <v>411</v>
      </c>
      <c r="H6" s="104"/>
      <c r="I6" s="106"/>
      <c r="J6" s="104"/>
    </row>
    <row r="7" spans="1:10" ht="41.25" x14ac:dyDescent="0.2">
      <c r="A7" s="102" t="s">
        <v>19</v>
      </c>
      <c r="B7" s="103" t="s">
        <v>344</v>
      </c>
      <c r="C7" s="103">
        <v>3</v>
      </c>
      <c r="D7" s="102" t="s">
        <v>20</v>
      </c>
      <c r="E7" s="108" t="s">
        <v>381</v>
      </c>
      <c r="F7" s="102" t="s">
        <v>302</v>
      </c>
      <c r="G7" s="103" t="s">
        <v>303</v>
      </c>
      <c r="H7" s="104"/>
      <c r="I7" s="106"/>
      <c r="J7" s="104"/>
    </row>
    <row r="8" spans="1:10" ht="27.75" x14ac:dyDescent="0.2">
      <c r="A8" s="102" t="s">
        <v>23</v>
      </c>
      <c r="B8" s="103" t="s">
        <v>351</v>
      </c>
      <c r="C8" s="103">
        <v>6</v>
      </c>
      <c r="D8" s="102" t="s">
        <v>232</v>
      </c>
      <c r="E8" s="103" t="s">
        <v>379</v>
      </c>
      <c r="F8" s="102" t="s">
        <v>304</v>
      </c>
      <c r="G8" s="109" t="s">
        <v>305</v>
      </c>
      <c r="H8" s="104"/>
      <c r="I8" s="105"/>
      <c r="J8" s="104"/>
    </row>
    <row r="9" spans="1:10" ht="27.75" x14ac:dyDescent="0.2">
      <c r="A9" s="102" t="s">
        <v>316</v>
      </c>
      <c r="B9" s="103" t="s">
        <v>350</v>
      </c>
      <c r="C9" s="103">
        <v>6</v>
      </c>
      <c r="D9" s="102" t="s">
        <v>22</v>
      </c>
      <c r="E9" s="103" t="s">
        <v>379</v>
      </c>
      <c r="F9" s="102" t="s">
        <v>306</v>
      </c>
      <c r="G9" s="103" t="s">
        <v>307</v>
      </c>
      <c r="H9" s="104"/>
      <c r="I9" s="106"/>
      <c r="J9" s="104"/>
    </row>
    <row r="10" spans="1:10" ht="41.25" x14ac:dyDescent="0.2">
      <c r="A10" s="102" t="s">
        <v>27</v>
      </c>
      <c r="B10" s="103" t="s">
        <v>345</v>
      </c>
      <c r="C10" s="103">
        <v>3</v>
      </c>
      <c r="D10" s="102" t="s">
        <v>315</v>
      </c>
      <c r="E10" s="103" t="s">
        <v>382</v>
      </c>
      <c r="F10" s="102" t="s">
        <v>308</v>
      </c>
      <c r="G10" s="103" t="s">
        <v>309</v>
      </c>
      <c r="H10" s="104"/>
      <c r="I10" s="105"/>
      <c r="J10" s="104"/>
    </row>
    <row r="11" spans="1:10" ht="41.25" x14ac:dyDescent="0.2">
      <c r="A11" s="102" t="s">
        <v>267</v>
      </c>
      <c r="B11" s="103" t="s">
        <v>346</v>
      </c>
      <c r="C11" s="103">
        <v>3</v>
      </c>
      <c r="D11" s="102" t="s">
        <v>25</v>
      </c>
      <c r="E11" s="103" t="s">
        <v>383</v>
      </c>
      <c r="F11" s="102" t="s">
        <v>312</v>
      </c>
      <c r="G11" s="103" t="s">
        <v>311</v>
      </c>
      <c r="H11" s="104"/>
      <c r="I11" s="105"/>
      <c r="J11" s="104"/>
    </row>
    <row r="12" spans="1:10" ht="41.25" x14ac:dyDescent="0.2">
      <c r="A12" s="102" t="s">
        <v>31</v>
      </c>
      <c r="B12" s="103" t="s">
        <v>347</v>
      </c>
      <c r="C12" s="103">
        <v>3</v>
      </c>
      <c r="D12" s="102" t="s">
        <v>28</v>
      </c>
      <c r="E12" s="103" t="s">
        <v>384</v>
      </c>
      <c r="F12" s="102" t="s">
        <v>26</v>
      </c>
      <c r="G12" s="103" t="s">
        <v>419</v>
      </c>
      <c r="H12" s="104"/>
      <c r="I12" s="105"/>
      <c r="J12" s="104"/>
    </row>
    <row r="13" spans="1:10" ht="41.25" x14ac:dyDescent="0.2">
      <c r="A13" s="102" t="s">
        <v>33</v>
      </c>
      <c r="B13" s="103" t="s">
        <v>348</v>
      </c>
      <c r="C13" s="103">
        <v>6</v>
      </c>
      <c r="D13" s="102" t="s">
        <v>30</v>
      </c>
      <c r="E13" s="103" t="s">
        <v>385</v>
      </c>
      <c r="F13" s="102" t="s">
        <v>29</v>
      </c>
      <c r="G13" s="103" t="s">
        <v>412</v>
      </c>
      <c r="H13" s="104"/>
      <c r="I13" s="105"/>
      <c r="J13" s="104"/>
    </row>
    <row r="14" spans="1:10" ht="41.25" x14ac:dyDescent="0.2">
      <c r="A14" s="102" t="s">
        <v>36</v>
      </c>
      <c r="B14" s="103" t="s">
        <v>349</v>
      </c>
      <c r="C14" s="103">
        <v>3</v>
      </c>
      <c r="D14" s="102" t="s">
        <v>32</v>
      </c>
      <c r="E14" s="103" t="s">
        <v>386</v>
      </c>
      <c r="F14" s="102" t="s">
        <v>24</v>
      </c>
      <c r="G14" s="103" t="s">
        <v>412</v>
      </c>
      <c r="H14" s="104"/>
      <c r="I14" s="106"/>
      <c r="J14" s="104"/>
    </row>
    <row r="15" spans="1:10" ht="41.25" x14ac:dyDescent="0.2">
      <c r="A15" s="102" t="s">
        <v>333</v>
      </c>
      <c r="B15" s="103" t="s">
        <v>352</v>
      </c>
      <c r="C15" s="103">
        <v>6</v>
      </c>
      <c r="D15" s="102" t="s">
        <v>34</v>
      </c>
      <c r="E15" s="103" t="s">
        <v>387</v>
      </c>
      <c r="F15" s="102" t="s">
        <v>35</v>
      </c>
      <c r="G15" s="103" t="s">
        <v>413</v>
      </c>
      <c r="H15" s="104"/>
      <c r="I15" s="106"/>
      <c r="J15" s="104"/>
    </row>
    <row r="16" spans="1:10" ht="41.25" x14ac:dyDescent="0.2">
      <c r="A16" s="102" t="s">
        <v>38</v>
      </c>
      <c r="B16" s="103" t="s">
        <v>353</v>
      </c>
      <c r="C16" s="103">
        <v>3</v>
      </c>
      <c r="D16" s="102" t="s">
        <v>37</v>
      </c>
      <c r="E16" s="103" t="s">
        <v>388</v>
      </c>
      <c r="F16" s="102" t="s">
        <v>301</v>
      </c>
      <c r="G16" s="103" t="s">
        <v>414</v>
      </c>
      <c r="H16" s="104"/>
      <c r="I16" s="105"/>
      <c r="J16" s="104"/>
    </row>
    <row r="17" spans="1:10" ht="41.25" x14ac:dyDescent="0.2">
      <c r="A17" s="102" t="s">
        <v>42</v>
      </c>
      <c r="B17" s="103" t="s">
        <v>354</v>
      </c>
      <c r="C17" s="103">
        <v>3</v>
      </c>
      <c r="D17" s="102" t="s">
        <v>39</v>
      </c>
      <c r="E17" s="103" t="s">
        <v>389</v>
      </c>
      <c r="F17" s="102" t="s">
        <v>284</v>
      </c>
      <c r="G17" s="103" t="s">
        <v>414</v>
      </c>
      <c r="H17" s="104"/>
      <c r="I17" s="105"/>
      <c r="J17" s="104"/>
    </row>
    <row r="18" spans="1:10" ht="41.25" x14ac:dyDescent="0.2">
      <c r="A18" s="102" t="s">
        <v>44</v>
      </c>
      <c r="B18" s="103" t="s">
        <v>355</v>
      </c>
      <c r="C18" s="103">
        <v>3</v>
      </c>
      <c r="D18" s="102" t="s">
        <v>41</v>
      </c>
      <c r="E18" s="103" t="s">
        <v>390</v>
      </c>
      <c r="F18" s="102" t="s">
        <v>21</v>
      </c>
      <c r="G18" s="103" t="s">
        <v>283</v>
      </c>
      <c r="H18" s="104"/>
      <c r="I18" s="105"/>
      <c r="J18" s="104"/>
    </row>
    <row r="19" spans="1:10" ht="27.75" x14ac:dyDescent="0.2">
      <c r="A19" s="102" t="s">
        <v>46</v>
      </c>
      <c r="B19" s="103" t="s">
        <v>356</v>
      </c>
      <c r="C19" s="103">
        <v>3</v>
      </c>
      <c r="D19" s="102" t="s">
        <v>43</v>
      </c>
      <c r="E19" s="103" t="s">
        <v>391</v>
      </c>
      <c r="F19" s="102" t="s">
        <v>278</v>
      </c>
      <c r="G19" s="103" t="s">
        <v>415</v>
      </c>
      <c r="H19" s="104"/>
      <c r="I19" s="105"/>
      <c r="J19" s="104"/>
    </row>
    <row r="20" spans="1:10" ht="41.25" x14ac:dyDescent="0.2">
      <c r="A20" s="102" t="s">
        <v>48</v>
      </c>
      <c r="B20" s="103" t="s">
        <v>357</v>
      </c>
      <c r="C20" s="103">
        <v>3</v>
      </c>
      <c r="D20" s="102" t="s">
        <v>45</v>
      </c>
      <c r="E20" s="103" t="s">
        <v>392</v>
      </c>
      <c r="F20" s="102" t="s">
        <v>279</v>
      </c>
      <c r="G20" s="103" t="s">
        <v>416</v>
      </c>
      <c r="H20" s="104"/>
      <c r="I20" s="106"/>
      <c r="J20" s="104"/>
    </row>
    <row r="21" spans="1:10" ht="41.25" x14ac:dyDescent="0.2">
      <c r="A21" s="102" t="s">
        <v>50</v>
      </c>
      <c r="B21" s="103" t="s">
        <v>358</v>
      </c>
      <c r="C21" s="103">
        <v>3</v>
      </c>
      <c r="D21" s="102" t="s">
        <v>47</v>
      </c>
      <c r="E21" s="103" t="s">
        <v>393</v>
      </c>
      <c r="F21" s="102" t="s">
        <v>285</v>
      </c>
      <c r="G21" s="103" t="s">
        <v>415</v>
      </c>
      <c r="H21" s="104"/>
      <c r="I21" s="106"/>
      <c r="J21" s="104"/>
    </row>
    <row r="22" spans="1:10" ht="41.25" x14ac:dyDescent="0.2">
      <c r="A22" s="102" t="s">
        <v>52</v>
      </c>
      <c r="B22" s="103" t="s">
        <v>359</v>
      </c>
      <c r="C22" s="103">
        <v>3</v>
      </c>
      <c r="D22" s="102" t="s">
        <v>49</v>
      </c>
      <c r="E22" s="103" t="s">
        <v>394</v>
      </c>
      <c r="F22" s="102" t="s">
        <v>18</v>
      </c>
      <c r="G22" s="103" t="s">
        <v>417</v>
      </c>
      <c r="H22" s="104"/>
      <c r="I22" s="106"/>
      <c r="J22" s="104"/>
    </row>
    <row r="23" spans="1:10" ht="41.25" x14ac:dyDescent="0.2">
      <c r="A23" s="102" t="s">
        <v>317</v>
      </c>
      <c r="B23" s="103" t="s">
        <v>360</v>
      </c>
      <c r="C23" s="103">
        <v>3</v>
      </c>
      <c r="D23" s="102" t="s">
        <v>51</v>
      </c>
      <c r="E23" s="103" t="s">
        <v>395</v>
      </c>
      <c r="F23" s="104"/>
      <c r="G23" s="106"/>
    </row>
    <row r="24" spans="1:10" ht="41.25" x14ac:dyDescent="0.2">
      <c r="A24" s="102" t="s">
        <v>332</v>
      </c>
      <c r="B24" s="103" t="s">
        <v>361</v>
      </c>
      <c r="C24" s="103">
        <v>6</v>
      </c>
      <c r="D24" s="102" t="s">
        <v>53</v>
      </c>
      <c r="E24" s="103" t="s">
        <v>396</v>
      </c>
      <c r="F24" s="104"/>
      <c r="G24" s="106"/>
    </row>
    <row r="25" spans="1:10" ht="41.25" x14ac:dyDescent="0.2">
      <c r="A25" s="102" t="s">
        <v>56</v>
      </c>
      <c r="B25" s="103" t="s">
        <v>362</v>
      </c>
      <c r="C25" s="103">
        <v>6</v>
      </c>
      <c r="D25" s="102" t="s">
        <v>54</v>
      </c>
      <c r="E25" s="103" t="s">
        <v>397</v>
      </c>
      <c r="F25" s="104"/>
      <c r="G25" s="106"/>
    </row>
    <row r="26" spans="1:10" ht="41.25" x14ac:dyDescent="0.2">
      <c r="A26" s="102" t="s">
        <v>58</v>
      </c>
      <c r="B26" s="103" t="s">
        <v>363</v>
      </c>
      <c r="C26" s="103">
        <v>3</v>
      </c>
      <c r="D26" s="102" t="s">
        <v>55</v>
      </c>
      <c r="E26" s="103" t="s">
        <v>398</v>
      </c>
      <c r="F26" s="104"/>
      <c r="G26" s="106"/>
    </row>
    <row r="27" spans="1:10" ht="41.25" x14ac:dyDescent="0.2">
      <c r="A27" s="102" t="s">
        <v>60</v>
      </c>
      <c r="B27" s="103" t="s">
        <v>364</v>
      </c>
      <c r="C27" s="109">
        <v>3</v>
      </c>
      <c r="D27" s="102" t="s">
        <v>57</v>
      </c>
      <c r="E27" s="103" t="s">
        <v>399</v>
      </c>
      <c r="F27" s="104"/>
      <c r="G27" s="106"/>
    </row>
    <row r="28" spans="1:10" ht="41.25" x14ac:dyDescent="0.2">
      <c r="A28" s="102" t="s">
        <v>62</v>
      </c>
      <c r="B28" s="103" t="s">
        <v>365</v>
      </c>
      <c r="C28" s="103">
        <v>3</v>
      </c>
      <c r="D28" s="102" t="s">
        <v>59</v>
      </c>
      <c r="E28" s="103" t="s">
        <v>400</v>
      </c>
      <c r="F28" s="104"/>
      <c r="G28" s="106"/>
    </row>
    <row r="29" spans="1:10" ht="41.25" x14ac:dyDescent="0.2">
      <c r="A29" s="102" t="s">
        <v>64</v>
      </c>
      <c r="B29" s="103" t="s">
        <v>366</v>
      </c>
      <c r="C29" s="103">
        <v>3</v>
      </c>
      <c r="D29" s="102" t="s">
        <v>61</v>
      </c>
      <c r="E29" s="103" t="s">
        <v>401</v>
      </c>
      <c r="F29" s="104"/>
      <c r="G29" s="106"/>
    </row>
    <row r="30" spans="1:10" ht="41.25" x14ac:dyDescent="0.2">
      <c r="A30" s="102" t="s">
        <v>66</v>
      </c>
      <c r="B30" s="103" t="s">
        <v>367</v>
      </c>
      <c r="C30" s="103">
        <v>3</v>
      </c>
      <c r="D30" s="102" t="s">
        <v>63</v>
      </c>
      <c r="E30" s="103" t="s">
        <v>402</v>
      </c>
      <c r="F30" s="104"/>
      <c r="G30" s="106"/>
    </row>
    <row r="31" spans="1:10" ht="41.25" x14ac:dyDescent="0.2">
      <c r="A31" s="102" t="s">
        <v>67</v>
      </c>
      <c r="B31" s="103" t="s">
        <v>368</v>
      </c>
      <c r="C31" s="103">
        <v>3</v>
      </c>
      <c r="D31" s="102" t="s">
        <v>65</v>
      </c>
      <c r="E31" s="103" t="s">
        <v>403</v>
      </c>
      <c r="F31" s="104"/>
      <c r="G31" s="106"/>
    </row>
    <row r="32" spans="1:10" ht="41.25" x14ac:dyDescent="0.2">
      <c r="A32" s="102" t="s">
        <v>68</v>
      </c>
      <c r="B32" s="103" t="s">
        <v>369</v>
      </c>
      <c r="C32" s="103">
        <v>3</v>
      </c>
      <c r="D32" s="107" t="s">
        <v>276</v>
      </c>
      <c r="E32" s="103" t="s">
        <v>404</v>
      </c>
      <c r="F32" s="104"/>
      <c r="G32" s="106"/>
    </row>
    <row r="33" spans="1:7" ht="41.25" x14ac:dyDescent="0.2">
      <c r="A33" s="102" t="s">
        <v>69</v>
      </c>
      <c r="B33" s="103" t="s">
        <v>370</v>
      </c>
      <c r="C33" s="103">
        <v>3</v>
      </c>
      <c r="D33" s="102" t="s">
        <v>277</v>
      </c>
      <c r="E33" s="103" t="s">
        <v>405</v>
      </c>
      <c r="F33" s="104"/>
      <c r="G33" s="106"/>
    </row>
    <row r="34" spans="1:7" ht="41.25" x14ac:dyDescent="0.2">
      <c r="A34" s="102" t="s">
        <v>259</v>
      </c>
      <c r="B34" s="103" t="s">
        <v>371</v>
      </c>
      <c r="C34" s="103">
        <v>3</v>
      </c>
      <c r="D34" s="102" t="s">
        <v>334</v>
      </c>
      <c r="E34" s="103" t="s">
        <v>406</v>
      </c>
      <c r="F34" s="104"/>
      <c r="G34" s="106"/>
    </row>
    <row r="35" spans="1:7" ht="41.25" x14ac:dyDescent="0.2">
      <c r="A35" s="102" t="s">
        <v>268</v>
      </c>
      <c r="B35" s="103" t="s">
        <v>372</v>
      </c>
      <c r="C35" s="103">
        <v>3</v>
      </c>
      <c r="D35" s="102" t="s">
        <v>335</v>
      </c>
      <c r="E35" s="103" t="s">
        <v>407</v>
      </c>
      <c r="F35" s="104"/>
      <c r="G35" s="106"/>
    </row>
    <row r="36" spans="1:7" ht="41.25" x14ac:dyDescent="0.2">
      <c r="A36" s="102" t="s">
        <v>314</v>
      </c>
      <c r="B36" s="103" t="s">
        <v>373</v>
      </c>
      <c r="C36" s="103">
        <v>6</v>
      </c>
      <c r="D36" s="104"/>
      <c r="E36" s="106"/>
      <c r="F36" s="104"/>
    </row>
    <row r="37" spans="1:7" ht="27.75" x14ac:dyDescent="0.2">
      <c r="A37" s="102" t="s">
        <v>275</v>
      </c>
      <c r="B37" s="103" t="s">
        <v>374</v>
      </c>
      <c r="C37" s="103">
        <v>3</v>
      </c>
      <c r="D37" s="104"/>
      <c r="E37" s="106"/>
      <c r="F37" s="104"/>
    </row>
    <row r="38" spans="1:7" ht="27.75" x14ac:dyDescent="0.2">
      <c r="A38" s="102" t="s">
        <v>281</v>
      </c>
      <c r="B38" s="103" t="s">
        <v>375</v>
      </c>
      <c r="C38" s="103">
        <v>6</v>
      </c>
      <c r="D38" s="104"/>
      <c r="E38" s="106"/>
      <c r="F38" s="104"/>
    </row>
    <row r="39" spans="1:7" ht="27.75" x14ac:dyDescent="0.2">
      <c r="A39" s="102" t="s">
        <v>292</v>
      </c>
      <c r="B39" s="103" t="s">
        <v>376</v>
      </c>
      <c r="C39" s="103">
        <v>3</v>
      </c>
      <c r="D39" s="104"/>
      <c r="E39" s="106"/>
      <c r="F39" s="104"/>
    </row>
  </sheetData>
  <pageMargins left="0.25" right="0.25" top="0.75" bottom="0.75" header="0.3" footer="0.3"/>
  <pageSetup scale="37" firstPageNumber="0" fitToWidth="0" orientation="portrait" blackAndWhite="1"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95C1D-DB02-1743-BBD2-99104C1FFD33}">
  <dimension ref="A1:I25"/>
  <sheetViews>
    <sheetView topLeftCell="E1" zoomScaleNormal="60" zoomScaleSheetLayoutView="100" workbookViewId="0">
      <pane ySplit="1" topLeftCell="E4" activePane="bottomLeft" state="frozen"/>
      <selection activeCell="E1" sqref="E1"/>
      <selection pane="bottomLeft" activeCell="D11" sqref="D11"/>
    </sheetView>
  </sheetViews>
  <sheetFormatPr defaultRowHeight="15" x14ac:dyDescent="0.2"/>
  <cols>
    <col min="1" max="1" width="13.71875" bestFit="1" customWidth="1"/>
    <col min="2" max="2" width="29.86328125" customWidth="1"/>
    <col min="3" max="3" width="12.10546875" bestFit="1" customWidth="1"/>
    <col min="4" max="4" width="25.55859375" style="1" customWidth="1"/>
    <col min="5" max="5" width="37.26171875" style="1" customWidth="1"/>
    <col min="6" max="6" width="21.7890625" style="1" customWidth="1"/>
    <col min="7" max="7" width="39.546875" style="1" customWidth="1"/>
    <col min="8" max="8" width="34.16796875" style="1" customWidth="1"/>
    <col min="9" max="9" width="40.0859375" customWidth="1"/>
  </cols>
  <sheetData>
    <row r="1" spans="1:9" ht="15.75" thickBot="1" x14ac:dyDescent="0.25">
      <c r="A1" s="25" t="s">
        <v>70</v>
      </c>
      <c r="B1" s="26" t="s">
        <v>71</v>
      </c>
      <c r="C1" s="27" t="s">
        <v>72</v>
      </c>
      <c r="D1" s="28" t="s">
        <v>73</v>
      </c>
      <c r="E1" s="28" t="s">
        <v>74</v>
      </c>
      <c r="F1" s="28" t="s">
        <v>75</v>
      </c>
      <c r="G1" s="28" t="s">
        <v>236</v>
      </c>
      <c r="H1" s="28" t="s">
        <v>76</v>
      </c>
      <c r="I1" s="29" t="s">
        <v>77</v>
      </c>
    </row>
    <row r="2" spans="1:9" ht="54.75" x14ac:dyDescent="0.2">
      <c r="A2" s="21" t="s">
        <v>219</v>
      </c>
      <c r="B2" s="22" t="s">
        <v>280</v>
      </c>
      <c r="C2" s="23" t="s">
        <v>78</v>
      </c>
      <c r="D2" s="24" t="s">
        <v>79</v>
      </c>
      <c r="E2" s="24" t="s">
        <v>80</v>
      </c>
      <c r="F2" s="24" t="s">
        <v>81</v>
      </c>
      <c r="G2" s="24" t="s">
        <v>82</v>
      </c>
      <c r="H2" s="24" t="s">
        <v>83</v>
      </c>
      <c r="I2" s="24" t="s">
        <v>286</v>
      </c>
    </row>
    <row r="3" spans="1:9" ht="54.75" x14ac:dyDescent="0.2">
      <c r="A3" s="11" t="s">
        <v>238</v>
      </c>
      <c r="B3" s="9" t="s">
        <v>237</v>
      </c>
      <c r="C3" s="12" t="s">
        <v>78</v>
      </c>
      <c r="D3" s="16" t="s">
        <v>222</v>
      </c>
      <c r="E3" s="16" t="s">
        <v>84</v>
      </c>
      <c r="F3" s="16" t="s">
        <v>85</v>
      </c>
      <c r="G3" s="16" t="s">
        <v>86</v>
      </c>
      <c r="H3" s="16" t="s">
        <v>193</v>
      </c>
      <c r="I3" s="16" t="s">
        <v>87</v>
      </c>
    </row>
    <row r="4" spans="1:9" ht="81" x14ac:dyDescent="0.2">
      <c r="A4" s="11" t="s">
        <v>88</v>
      </c>
      <c r="B4" s="10" t="s">
        <v>89</v>
      </c>
      <c r="C4" s="12" t="s">
        <v>78</v>
      </c>
      <c r="D4" s="16" t="s">
        <v>90</v>
      </c>
      <c r="E4" s="16" t="s">
        <v>91</v>
      </c>
      <c r="F4" s="16" t="s">
        <v>261</v>
      </c>
      <c r="G4" s="16" t="s">
        <v>92</v>
      </c>
      <c r="H4" s="16" t="s">
        <v>93</v>
      </c>
      <c r="I4" s="19"/>
    </row>
    <row r="5" spans="1:9" ht="54.75" x14ac:dyDescent="0.2">
      <c r="A5" s="11" t="s">
        <v>94</v>
      </c>
      <c r="B5" s="9" t="s">
        <v>199</v>
      </c>
      <c r="C5" s="12" t="s">
        <v>78</v>
      </c>
      <c r="D5" s="16" t="s">
        <v>95</v>
      </c>
      <c r="E5" s="16" t="s">
        <v>96</v>
      </c>
      <c r="F5" s="16" t="s">
        <v>97</v>
      </c>
      <c r="G5" s="16" t="s">
        <v>234</v>
      </c>
      <c r="H5" s="16" t="s">
        <v>192</v>
      </c>
      <c r="I5" s="19"/>
    </row>
    <row r="6" spans="1:9" ht="108" x14ac:dyDescent="0.2">
      <c r="A6" s="11" t="s">
        <v>98</v>
      </c>
      <c r="B6" s="10" t="s">
        <v>99</v>
      </c>
      <c r="C6" s="12" t="s">
        <v>78</v>
      </c>
      <c r="D6" s="16" t="s">
        <v>100</v>
      </c>
      <c r="E6" s="16" t="s">
        <v>101</v>
      </c>
      <c r="F6" s="16" t="s">
        <v>102</v>
      </c>
      <c r="G6" s="16" t="s">
        <v>235</v>
      </c>
      <c r="H6" s="16" t="s">
        <v>282</v>
      </c>
      <c r="I6" s="19"/>
    </row>
    <row r="7" spans="1:9" ht="41.25" x14ac:dyDescent="0.2">
      <c r="A7" s="11" t="s">
        <v>103</v>
      </c>
      <c r="B7" s="10" t="s">
        <v>104</v>
      </c>
      <c r="C7" s="12" t="s">
        <v>78</v>
      </c>
      <c r="D7" s="16" t="s">
        <v>266</v>
      </c>
      <c r="E7" s="16" t="s">
        <v>197</v>
      </c>
      <c r="F7" s="18" t="s">
        <v>224</v>
      </c>
      <c r="G7" s="16" t="s">
        <v>105</v>
      </c>
      <c r="H7" s="16"/>
      <c r="I7" s="19"/>
    </row>
    <row r="8" spans="1:9" ht="41.25" x14ac:dyDescent="0.2">
      <c r="A8" s="11" t="s">
        <v>106</v>
      </c>
      <c r="B8" s="9" t="s">
        <v>107</v>
      </c>
      <c r="C8" s="12" t="s">
        <v>78</v>
      </c>
      <c r="D8" s="16" t="s">
        <v>108</v>
      </c>
      <c r="E8" s="16" t="s">
        <v>198</v>
      </c>
      <c r="F8" s="16" t="s">
        <v>109</v>
      </c>
      <c r="G8" s="16"/>
      <c r="H8" s="16"/>
      <c r="I8" s="19"/>
    </row>
    <row r="9" spans="1:9" ht="108" x14ac:dyDescent="0.2">
      <c r="A9" s="11" t="s">
        <v>110</v>
      </c>
      <c r="B9" s="9" t="s">
        <v>111</v>
      </c>
      <c r="C9" s="12" t="s">
        <v>78</v>
      </c>
      <c r="D9" s="16" t="s">
        <v>112</v>
      </c>
      <c r="E9" s="16" t="s">
        <v>113</v>
      </c>
      <c r="F9" s="16" t="s">
        <v>114</v>
      </c>
      <c r="G9" s="16"/>
      <c r="H9" s="16"/>
      <c r="I9" s="19"/>
    </row>
    <row r="10" spans="1:9" ht="27.75" x14ac:dyDescent="0.2">
      <c r="A10" s="11" t="s">
        <v>329</v>
      </c>
      <c r="B10" s="9" t="s">
        <v>115</v>
      </c>
      <c r="C10" s="12" t="s">
        <v>78</v>
      </c>
      <c r="D10" s="16" t="s">
        <v>270</v>
      </c>
      <c r="E10" s="16" t="s">
        <v>116</v>
      </c>
      <c r="F10" s="16"/>
      <c r="G10" s="16"/>
      <c r="H10" s="16"/>
      <c r="I10" s="19"/>
    </row>
    <row r="11" spans="1:9" ht="68.25" x14ac:dyDescent="0.2">
      <c r="A11" s="11" t="s">
        <v>117</v>
      </c>
      <c r="B11" s="9" t="s">
        <v>269</v>
      </c>
      <c r="C11" s="12" t="s">
        <v>78</v>
      </c>
      <c r="D11" s="16"/>
      <c r="E11" s="16" t="s">
        <v>271</v>
      </c>
      <c r="F11" s="16"/>
      <c r="G11" s="16"/>
      <c r="H11" s="16"/>
      <c r="I11" s="19"/>
    </row>
    <row r="12" spans="1:9" ht="27.75" x14ac:dyDescent="0.2">
      <c r="A12" s="11" t="s">
        <v>118</v>
      </c>
      <c r="B12" s="9" t="s">
        <v>119</v>
      </c>
      <c r="C12" s="12" t="s">
        <v>78</v>
      </c>
      <c r="D12" s="16"/>
      <c r="E12" s="16" t="s">
        <v>120</v>
      </c>
      <c r="F12" s="18"/>
      <c r="G12" s="16"/>
      <c r="H12" s="16"/>
      <c r="I12" s="19"/>
    </row>
    <row r="13" spans="1:9" ht="27.75" x14ac:dyDescent="0.2">
      <c r="A13" s="11" t="s">
        <v>121</v>
      </c>
      <c r="B13" s="9" t="s">
        <v>122</v>
      </c>
      <c r="C13" s="12" t="s">
        <v>78</v>
      </c>
      <c r="D13" s="16"/>
      <c r="E13" s="16" t="s">
        <v>123</v>
      </c>
      <c r="F13" s="18"/>
      <c r="G13" s="16"/>
      <c r="H13" s="16"/>
      <c r="I13" s="19"/>
    </row>
    <row r="14" spans="1:9" ht="41.25" x14ac:dyDescent="0.2">
      <c r="A14" s="11" t="s">
        <v>124</v>
      </c>
      <c r="B14" s="9" t="s">
        <v>125</v>
      </c>
      <c r="C14" s="12" t="s">
        <v>126</v>
      </c>
      <c r="D14" s="16"/>
      <c r="E14" s="16" t="s">
        <v>127</v>
      </c>
      <c r="F14" s="18"/>
      <c r="G14" s="16"/>
      <c r="H14" s="16"/>
      <c r="I14" s="19"/>
    </row>
    <row r="15" spans="1:9" ht="41.25" x14ac:dyDescent="0.2">
      <c r="A15" s="11" t="s">
        <v>128</v>
      </c>
      <c r="B15" s="9" t="s">
        <v>129</v>
      </c>
      <c r="C15" s="12" t="s">
        <v>126</v>
      </c>
      <c r="D15" s="16"/>
      <c r="E15" s="16"/>
      <c r="F15" s="16"/>
      <c r="G15" s="16"/>
      <c r="H15" s="16"/>
      <c r="I15" s="19"/>
    </row>
    <row r="16" spans="1:9" ht="41.25" x14ac:dyDescent="0.2">
      <c r="A16" s="11" t="s">
        <v>130</v>
      </c>
      <c r="B16" s="9" t="s">
        <v>131</v>
      </c>
      <c r="C16" s="12" t="s">
        <v>126</v>
      </c>
      <c r="D16" s="16"/>
      <c r="E16" s="16"/>
      <c r="F16" s="16"/>
      <c r="G16" s="16"/>
      <c r="H16" s="16"/>
      <c r="I16" s="19"/>
    </row>
    <row r="17" spans="1:9" ht="54.75" x14ac:dyDescent="0.2">
      <c r="A17" s="11" t="s">
        <v>272</v>
      </c>
      <c r="B17" s="9" t="s">
        <v>274</v>
      </c>
      <c r="C17" s="12" t="s">
        <v>126</v>
      </c>
      <c r="D17" s="16"/>
      <c r="E17" s="16"/>
      <c r="F17" s="16"/>
      <c r="G17" s="16"/>
      <c r="H17" s="16"/>
      <c r="I17" s="19"/>
    </row>
    <row r="18" spans="1:9" ht="27.75" x14ac:dyDescent="0.2">
      <c r="A18" s="11" t="s">
        <v>132</v>
      </c>
      <c r="B18" s="9" t="s">
        <v>133</v>
      </c>
      <c r="C18" s="12" t="s">
        <v>134</v>
      </c>
      <c r="D18" s="16"/>
      <c r="E18" s="16"/>
      <c r="F18" s="16"/>
      <c r="G18" s="16"/>
      <c r="H18" s="16"/>
      <c r="I18" s="19"/>
    </row>
    <row r="19" spans="1:9" ht="54.75" x14ac:dyDescent="0.2">
      <c r="A19" s="11" t="s">
        <v>135</v>
      </c>
      <c r="B19" s="9" t="s">
        <v>136</v>
      </c>
      <c r="C19" s="12" t="s">
        <v>134</v>
      </c>
      <c r="D19" s="16"/>
      <c r="E19" s="16"/>
      <c r="F19" s="16"/>
      <c r="G19" s="16"/>
      <c r="H19" s="16"/>
      <c r="I19" s="19"/>
    </row>
    <row r="20" spans="1:9" ht="54.75" x14ac:dyDescent="0.2">
      <c r="A20" s="11" t="s">
        <v>137</v>
      </c>
      <c r="B20" s="9" t="s">
        <v>138</v>
      </c>
      <c r="C20" s="12" t="s">
        <v>134</v>
      </c>
      <c r="D20" s="16"/>
      <c r="E20" s="16"/>
      <c r="F20" s="16"/>
      <c r="G20" s="16"/>
      <c r="H20" s="16"/>
      <c r="I20" s="19"/>
    </row>
    <row r="21" spans="1:9" ht="41.25" x14ac:dyDescent="0.2">
      <c r="A21" s="11" t="s">
        <v>257</v>
      </c>
      <c r="B21" s="9" t="s">
        <v>258</v>
      </c>
      <c r="C21" s="12" t="s">
        <v>134</v>
      </c>
      <c r="D21" s="16"/>
      <c r="E21" s="16"/>
      <c r="F21" s="16"/>
      <c r="G21" s="16"/>
      <c r="H21" s="16"/>
      <c r="I21" s="19"/>
    </row>
    <row r="22" spans="1:9" ht="54.75" x14ac:dyDescent="0.2">
      <c r="A22" s="11" t="s">
        <v>124</v>
      </c>
      <c r="B22" s="9" t="s">
        <v>139</v>
      </c>
      <c r="C22" s="12" t="s">
        <v>134</v>
      </c>
      <c r="D22" s="16"/>
      <c r="E22" s="16"/>
      <c r="F22" s="16"/>
      <c r="G22" s="16"/>
      <c r="H22" s="16"/>
      <c r="I22" s="19"/>
    </row>
    <row r="23" spans="1:9" ht="54.75" x14ac:dyDescent="0.2">
      <c r="A23" s="11" t="s">
        <v>128</v>
      </c>
      <c r="B23" s="9" t="s">
        <v>140</v>
      </c>
      <c r="C23" s="12" t="s">
        <v>134</v>
      </c>
      <c r="D23" s="16"/>
      <c r="E23" s="16"/>
      <c r="F23" s="16"/>
      <c r="G23" s="16"/>
      <c r="H23" s="16"/>
      <c r="I23" s="19"/>
    </row>
    <row r="24" spans="1:9" ht="42" thickBot="1" x14ac:dyDescent="0.25">
      <c r="A24" s="13" t="s">
        <v>130</v>
      </c>
      <c r="B24" s="14" t="s">
        <v>141</v>
      </c>
      <c r="C24" s="15" t="s">
        <v>134</v>
      </c>
      <c r="D24" s="16"/>
      <c r="E24" s="16"/>
      <c r="F24" s="16"/>
      <c r="G24" s="16"/>
      <c r="H24" s="16"/>
      <c r="I24" s="19"/>
    </row>
    <row r="25" spans="1:9" ht="42" thickBot="1" x14ac:dyDescent="0.25">
      <c r="A25" s="13" t="s">
        <v>272</v>
      </c>
      <c r="B25" s="14" t="s">
        <v>273</v>
      </c>
      <c r="C25" s="15" t="s">
        <v>134</v>
      </c>
      <c r="D25" s="17"/>
      <c r="E25" s="17"/>
      <c r="F25" s="17"/>
      <c r="G25" s="17"/>
      <c r="H25" s="17"/>
      <c r="I25" s="20"/>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DF489-FE6D-4819-BD1A-323DFAE597A3}">
  <dimension ref="A1:I49"/>
  <sheetViews>
    <sheetView topLeftCell="D1" workbookViewId="0">
      <pane ySplit="1" topLeftCell="D2" activePane="bottomLeft" state="frozen"/>
      <selection activeCell="B1" sqref="B1"/>
      <selection pane="bottomLeft" activeCell="F11" sqref="F11"/>
    </sheetView>
  </sheetViews>
  <sheetFormatPr defaultRowHeight="15" x14ac:dyDescent="0.2"/>
  <cols>
    <col min="1" max="1" width="19.1015625" bestFit="1" customWidth="1"/>
    <col min="2" max="7" width="30.66796875" customWidth="1"/>
  </cols>
  <sheetData>
    <row r="1" spans="1:9" ht="15.75" thickBot="1" x14ac:dyDescent="0.25">
      <c r="A1" s="39"/>
      <c r="B1" s="33" t="s">
        <v>142</v>
      </c>
      <c r="C1" s="33" t="s">
        <v>143</v>
      </c>
      <c r="D1" s="32" t="s">
        <v>144</v>
      </c>
      <c r="E1" s="79" t="s">
        <v>145</v>
      </c>
      <c r="F1" s="78" t="s">
        <v>146</v>
      </c>
      <c r="G1" s="33" t="s">
        <v>147</v>
      </c>
      <c r="I1" t="s">
        <v>194</v>
      </c>
    </row>
    <row r="2" spans="1:9" x14ac:dyDescent="0.2">
      <c r="A2" s="41" t="s">
        <v>148</v>
      </c>
      <c r="B2" s="42" t="s">
        <v>46</v>
      </c>
      <c r="C2" s="36" t="s">
        <v>36</v>
      </c>
      <c r="D2" s="37" t="s">
        <v>38</v>
      </c>
      <c r="E2" s="77" t="s">
        <v>42</v>
      </c>
      <c r="F2" s="83" t="s">
        <v>52</v>
      </c>
      <c r="G2" s="36" t="s">
        <v>62</v>
      </c>
      <c r="I2" t="s">
        <v>195</v>
      </c>
    </row>
    <row r="3" spans="1:9" x14ac:dyDescent="0.2">
      <c r="A3" s="41" t="s">
        <v>149</v>
      </c>
      <c r="B3" s="43" t="s">
        <v>23</v>
      </c>
      <c r="C3" s="35" t="s">
        <v>316</v>
      </c>
      <c r="D3" s="34" t="s">
        <v>260</v>
      </c>
      <c r="E3" s="80" t="s">
        <v>50</v>
      </c>
      <c r="F3" s="31" t="s">
        <v>332</v>
      </c>
      <c r="G3" s="35" t="s">
        <v>67</v>
      </c>
      <c r="I3" t="s">
        <v>196</v>
      </c>
    </row>
    <row r="4" spans="1:9" x14ac:dyDescent="0.2">
      <c r="A4" s="41" t="s">
        <v>150</v>
      </c>
      <c r="B4" s="35" t="s">
        <v>33</v>
      </c>
      <c r="C4" s="35" t="s">
        <v>13</v>
      </c>
      <c r="D4" s="34" t="s">
        <v>60</v>
      </c>
      <c r="E4" s="80" t="s">
        <v>40</v>
      </c>
      <c r="F4" s="34" t="s">
        <v>56</v>
      </c>
      <c r="G4" s="35" t="s">
        <v>58</v>
      </c>
      <c r="I4" t="s">
        <v>256</v>
      </c>
    </row>
    <row r="5" spans="1:9" ht="15.75" thickBot="1" x14ac:dyDescent="0.25">
      <c r="A5" s="41" t="s">
        <v>151</v>
      </c>
      <c r="B5" s="40" t="s">
        <v>69</v>
      </c>
      <c r="C5" s="40" t="s">
        <v>31</v>
      </c>
      <c r="D5" s="38" t="s">
        <v>10</v>
      </c>
      <c r="E5" s="81" t="s">
        <v>267</v>
      </c>
      <c r="F5" s="84" t="s">
        <v>44</v>
      </c>
      <c r="G5" s="82" t="s">
        <v>275</v>
      </c>
      <c r="I5" t="s">
        <v>200</v>
      </c>
    </row>
    <row r="6" spans="1:9" ht="15.75" thickBot="1" x14ac:dyDescent="0.25">
      <c r="A6" s="64" t="s">
        <v>152</v>
      </c>
      <c r="B6" s="65" t="s">
        <v>53</v>
      </c>
      <c r="C6" s="66" t="s">
        <v>20</v>
      </c>
      <c r="D6" s="67" t="s">
        <v>37</v>
      </c>
      <c r="E6" s="68" t="s">
        <v>57</v>
      </c>
      <c r="F6" s="60" t="s">
        <v>32</v>
      </c>
      <c r="G6" s="69" t="s">
        <v>61</v>
      </c>
      <c r="I6" t="s">
        <v>201</v>
      </c>
    </row>
    <row r="7" spans="1:9" ht="15.75" thickBot="1" x14ac:dyDescent="0.25">
      <c r="A7" s="44" t="s">
        <v>153</v>
      </c>
      <c r="B7" s="44" t="s">
        <v>154</v>
      </c>
      <c r="C7" s="41" t="s">
        <v>227</v>
      </c>
      <c r="D7" t="s">
        <v>155</v>
      </c>
      <c r="E7" s="41" t="s">
        <v>156</v>
      </c>
      <c r="F7" t="s">
        <v>157</v>
      </c>
      <c r="G7" s="41" t="s">
        <v>77</v>
      </c>
      <c r="I7" t="s">
        <v>205</v>
      </c>
    </row>
    <row r="8" spans="1:9" x14ac:dyDescent="0.2">
      <c r="A8" s="62" t="s">
        <v>202</v>
      </c>
      <c r="B8" s="62" t="s">
        <v>145</v>
      </c>
      <c r="C8" s="58" t="s">
        <v>146</v>
      </c>
      <c r="D8" s="62" t="s">
        <v>147</v>
      </c>
      <c r="E8" s="58" t="s">
        <v>142</v>
      </c>
      <c r="F8" s="62" t="s">
        <v>143</v>
      </c>
      <c r="G8" s="59" t="s">
        <v>144</v>
      </c>
      <c r="I8" t="s">
        <v>206</v>
      </c>
    </row>
    <row r="9" spans="1:9" x14ac:dyDescent="0.2">
      <c r="A9" s="31" t="s">
        <v>203</v>
      </c>
      <c r="B9" s="31" t="s">
        <v>146</v>
      </c>
      <c r="C9" t="s">
        <v>144</v>
      </c>
      <c r="D9" s="31" t="s">
        <v>143</v>
      </c>
      <c r="E9" t="s">
        <v>147</v>
      </c>
      <c r="F9" s="31" t="s">
        <v>142</v>
      </c>
      <c r="G9" s="43" t="s">
        <v>145</v>
      </c>
    </row>
    <row r="10" spans="1:9" ht="15.75" thickBot="1" x14ac:dyDescent="0.25">
      <c r="A10" s="63" t="s">
        <v>204</v>
      </c>
      <c r="B10" s="63" t="s">
        <v>144</v>
      </c>
      <c r="C10" s="60" t="s">
        <v>147</v>
      </c>
      <c r="D10" s="63" t="s">
        <v>142</v>
      </c>
      <c r="E10" s="60" t="s">
        <v>146</v>
      </c>
      <c r="F10" s="63" t="s">
        <v>145</v>
      </c>
      <c r="G10" s="61" t="s">
        <v>143</v>
      </c>
    </row>
    <row r="12" spans="1:9" x14ac:dyDescent="0.2">
      <c r="A12" s="3" t="s">
        <v>226</v>
      </c>
    </row>
    <row r="13" spans="1:9" x14ac:dyDescent="0.2">
      <c r="A13" s="3" t="s">
        <v>228</v>
      </c>
      <c r="B13" s="2" t="s">
        <v>319</v>
      </c>
      <c r="C13" s="2" t="s">
        <v>290</v>
      </c>
      <c r="D13" s="2" t="s">
        <v>207</v>
      </c>
      <c r="E13" s="2" t="s">
        <v>320</v>
      </c>
      <c r="F13" s="2" t="s">
        <v>214</v>
      </c>
      <c r="G13" s="2" t="s">
        <v>330</v>
      </c>
    </row>
    <row r="14" spans="1:9" x14ac:dyDescent="0.2">
      <c r="A14" s="3"/>
      <c r="B14" s="2" t="s">
        <v>207</v>
      </c>
      <c r="C14" s="2" t="s">
        <v>321</v>
      </c>
      <c r="D14" s="2" t="s">
        <v>213</v>
      </c>
      <c r="E14" s="2" t="s">
        <v>287</v>
      </c>
      <c r="F14" s="2" t="s">
        <v>322</v>
      </c>
      <c r="G14" s="2" t="s">
        <v>216</v>
      </c>
    </row>
    <row r="15" spans="1:9" x14ac:dyDescent="0.2">
      <c r="A15" s="3"/>
      <c r="B15" s="2" t="s">
        <v>323</v>
      </c>
      <c r="C15" s="2" t="s">
        <v>103</v>
      </c>
      <c r="D15" s="2" t="s">
        <v>209</v>
      </c>
      <c r="E15" s="2" t="s">
        <v>324</v>
      </c>
      <c r="F15" s="2" t="s">
        <v>325</v>
      </c>
      <c r="G15" s="2" t="s">
        <v>208</v>
      </c>
    </row>
    <row r="16" spans="1:9" ht="27.75" x14ac:dyDescent="0.2">
      <c r="A16" s="3"/>
      <c r="B16" s="2" t="s">
        <v>326</v>
      </c>
      <c r="C16" s="2" t="s">
        <v>327</v>
      </c>
      <c r="D16" s="2" t="s">
        <v>98</v>
      </c>
      <c r="E16" s="2" t="s">
        <v>103</v>
      </c>
      <c r="F16" s="2" t="s">
        <v>330</v>
      </c>
      <c r="G16" s="2" t="s">
        <v>327</v>
      </c>
    </row>
    <row r="17" spans="1:9" x14ac:dyDescent="0.2">
      <c r="A17" s="3"/>
      <c r="B17" s="2"/>
      <c r="C17" s="2"/>
      <c r="D17" s="2"/>
      <c r="E17" s="2"/>
      <c r="F17" s="2"/>
      <c r="G17" s="2"/>
    </row>
    <row r="18" spans="1:9" x14ac:dyDescent="0.2">
      <c r="A18" s="3" t="s">
        <v>229</v>
      </c>
      <c r="B18" s="2" t="s">
        <v>103</v>
      </c>
      <c r="C18" s="3" t="s">
        <v>231</v>
      </c>
      <c r="D18" s="2" t="s">
        <v>211</v>
      </c>
      <c r="E18" s="2" t="s">
        <v>289</v>
      </c>
      <c r="F18" s="2" t="s">
        <v>210</v>
      </c>
      <c r="G18" s="2" t="s">
        <v>290</v>
      </c>
      <c r="I18" t="s">
        <v>294</v>
      </c>
    </row>
    <row r="19" spans="1:9" x14ac:dyDescent="0.2">
      <c r="A19" s="3"/>
      <c r="B19" s="2" t="s">
        <v>329</v>
      </c>
      <c r="C19" s="2" t="s">
        <v>288</v>
      </c>
      <c r="D19" s="2" t="s">
        <v>207</v>
      </c>
      <c r="E19" s="2" t="s">
        <v>207</v>
      </c>
      <c r="F19" s="2" t="s">
        <v>214</v>
      </c>
      <c r="G19" s="2" t="s">
        <v>209</v>
      </c>
      <c r="I19" t="s">
        <v>212</v>
      </c>
    </row>
    <row r="20" spans="1:9" x14ac:dyDescent="0.2">
      <c r="A20" s="3"/>
      <c r="B20" s="2" t="s">
        <v>207</v>
      </c>
      <c r="C20" s="2" t="s">
        <v>291</v>
      </c>
      <c r="D20" s="2" t="s">
        <v>208</v>
      </c>
      <c r="E20" t="s">
        <v>329</v>
      </c>
      <c r="F20" s="2" t="s">
        <v>257</v>
      </c>
      <c r="G20" s="2" t="s">
        <v>216</v>
      </c>
    </row>
    <row r="21" spans="1:9" ht="27.75" x14ac:dyDescent="0.2">
      <c r="A21" s="3"/>
      <c r="B21" s="2"/>
      <c r="C21" s="2" t="s">
        <v>207</v>
      </c>
      <c r="D21" t="s">
        <v>293</v>
      </c>
      <c r="E21" s="2" t="s">
        <v>318</v>
      </c>
      <c r="F21" s="2" t="s">
        <v>208</v>
      </c>
      <c r="G21" s="2" t="s">
        <v>208</v>
      </c>
    </row>
    <row r="22" spans="1:9" x14ac:dyDescent="0.2">
      <c r="A22" s="3"/>
      <c r="B22" s="2"/>
      <c r="D22" s="2" t="s">
        <v>225</v>
      </c>
      <c r="G22" s="2"/>
    </row>
    <row r="23" spans="1:9" x14ac:dyDescent="0.2">
      <c r="A23" s="3"/>
      <c r="B23" s="2"/>
      <c r="D23" s="2"/>
      <c r="E23" s="2"/>
      <c r="F23" s="2"/>
      <c r="G23" s="2"/>
    </row>
    <row r="24" spans="1:9" ht="27.75" x14ac:dyDescent="0.2">
      <c r="A24" s="3" t="s">
        <v>230</v>
      </c>
      <c r="B24" s="2" t="s">
        <v>219</v>
      </c>
      <c r="C24" s="2" t="s">
        <v>137</v>
      </c>
      <c r="D24" s="2" t="s">
        <v>110</v>
      </c>
      <c r="E24" s="2" t="s">
        <v>215</v>
      </c>
      <c r="F24" s="2" t="s">
        <v>295</v>
      </c>
      <c r="G24" s="2" t="s">
        <v>223</v>
      </c>
      <c r="I24" t="s">
        <v>294</v>
      </c>
    </row>
    <row r="25" spans="1:9" x14ac:dyDescent="0.2">
      <c r="A25" s="3"/>
      <c r="B25" s="2" t="s">
        <v>118</v>
      </c>
      <c r="C25" s="2" t="s">
        <v>121</v>
      </c>
      <c r="D25" s="2" t="s">
        <v>219</v>
      </c>
      <c r="E25" s="2" t="s">
        <v>233</v>
      </c>
      <c r="F25" s="2" t="s">
        <v>328</v>
      </c>
      <c r="G25" s="2" t="s">
        <v>299</v>
      </c>
      <c r="I25" t="s">
        <v>212</v>
      </c>
    </row>
    <row r="26" spans="1:9" x14ac:dyDescent="0.2">
      <c r="A26" s="3"/>
      <c r="B26" s="2" t="s">
        <v>298</v>
      </c>
      <c r="C26" s="2" t="s">
        <v>135</v>
      </c>
      <c r="D26" s="2" t="s">
        <v>118</v>
      </c>
      <c r="E26" t="s">
        <v>297</v>
      </c>
      <c r="F26" s="2" t="s">
        <v>118</v>
      </c>
      <c r="G26" s="2" t="s">
        <v>217</v>
      </c>
      <c r="I26" t="s">
        <v>221</v>
      </c>
    </row>
    <row r="27" spans="1:9" x14ac:dyDescent="0.2">
      <c r="A27" s="3"/>
      <c r="B27" s="2"/>
      <c r="C27" s="2" t="s">
        <v>218</v>
      </c>
      <c r="D27" s="2" t="s">
        <v>299</v>
      </c>
      <c r="F27" s="2" t="s">
        <v>219</v>
      </c>
      <c r="G27" s="2"/>
      <c r="I27" t="s">
        <v>220</v>
      </c>
    </row>
    <row r="28" spans="1:9" x14ac:dyDescent="0.2">
      <c r="A28" s="3"/>
      <c r="B28" s="1"/>
      <c r="C28" s="1"/>
      <c r="D28" s="1"/>
      <c r="E28" s="2"/>
      <c r="F28" s="1"/>
      <c r="G28" s="1"/>
      <c r="I28" t="s">
        <v>296</v>
      </c>
    </row>
    <row r="29" spans="1:9" x14ac:dyDescent="0.2">
      <c r="A29" s="3"/>
      <c r="B29" s="1"/>
      <c r="C29" s="1"/>
      <c r="D29" s="1"/>
      <c r="E29" s="1"/>
      <c r="F29" s="1"/>
      <c r="G29" s="1"/>
      <c r="I29" t="s">
        <v>300</v>
      </c>
    </row>
    <row r="30" spans="1:9" x14ac:dyDescent="0.2">
      <c r="A30" s="3"/>
      <c r="B30" s="1"/>
      <c r="C30" s="1"/>
      <c r="D30" s="1"/>
      <c r="E30" s="1"/>
      <c r="F30" s="1"/>
      <c r="G30" s="1"/>
    </row>
    <row r="31" spans="1:9" x14ac:dyDescent="0.2">
      <c r="B31" s="1"/>
      <c r="C31" s="1"/>
      <c r="D31" s="1"/>
      <c r="E31" s="1"/>
      <c r="F31" s="1"/>
      <c r="G31" s="1"/>
    </row>
    <row r="34" spans="2:7" x14ac:dyDescent="0.2">
      <c r="B34" s="2"/>
      <c r="C34" s="2"/>
      <c r="D34" s="2"/>
      <c r="E34" s="2"/>
      <c r="F34" s="2"/>
      <c r="G34" s="2"/>
    </row>
    <row r="35" spans="2:7" x14ac:dyDescent="0.2">
      <c r="B35" s="2"/>
      <c r="C35" s="2"/>
      <c r="D35" s="2"/>
      <c r="E35" s="2"/>
      <c r="F35" s="2"/>
      <c r="G35" s="2"/>
    </row>
    <row r="36" spans="2:7" x14ac:dyDescent="0.2">
      <c r="B36" s="2"/>
      <c r="C36" s="2"/>
      <c r="D36" s="2"/>
      <c r="E36" s="2"/>
      <c r="F36" s="2"/>
      <c r="G36" s="2"/>
    </row>
    <row r="37" spans="2:7" x14ac:dyDescent="0.2">
      <c r="B37" s="2"/>
      <c r="C37" s="2"/>
      <c r="D37" s="2"/>
      <c r="E37" s="2"/>
      <c r="F37" s="2"/>
      <c r="G37" s="2"/>
    </row>
    <row r="39" spans="2:7" x14ac:dyDescent="0.2">
      <c r="B39" s="2"/>
      <c r="C39" s="2"/>
      <c r="D39" s="2"/>
      <c r="E39" s="2"/>
      <c r="F39" s="2"/>
      <c r="G39" s="2"/>
    </row>
    <row r="40" spans="2:7" x14ac:dyDescent="0.2">
      <c r="B40" s="2"/>
      <c r="C40" s="2"/>
      <c r="D40" s="2"/>
      <c r="E40" s="2"/>
      <c r="F40" s="2"/>
      <c r="G40" s="2"/>
    </row>
    <row r="41" spans="2:7" x14ac:dyDescent="0.2">
      <c r="B41" s="2"/>
      <c r="C41" s="2"/>
      <c r="D41" s="2"/>
      <c r="E41" s="2"/>
      <c r="F41" s="2"/>
      <c r="G41" s="2"/>
    </row>
    <row r="42" spans="2:7" x14ac:dyDescent="0.2">
      <c r="B42" s="2"/>
      <c r="C42" s="2"/>
      <c r="D42" s="2"/>
      <c r="E42" s="2"/>
      <c r="F42" s="2"/>
      <c r="G42" s="2"/>
    </row>
    <row r="43" spans="2:7" x14ac:dyDescent="0.2">
      <c r="B43" s="2"/>
      <c r="C43" s="2"/>
      <c r="D43" s="2"/>
      <c r="E43" s="2"/>
      <c r="F43" s="2"/>
      <c r="G43" s="2"/>
    </row>
    <row r="44" spans="2:7" x14ac:dyDescent="0.2">
      <c r="B44" s="2"/>
      <c r="C44" s="2"/>
      <c r="D44" s="2"/>
      <c r="E44" s="2"/>
      <c r="F44" s="2"/>
      <c r="G44" s="2"/>
    </row>
    <row r="45" spans="2:7" x14ac:dyDescent="0.2">
      <c r="B45" s="2"/>
      <c r="C45" s="2"/>
      <c r="D45" s="2"/>
      <c r="E45" s="2"/>
      <c r="F45" s="2"/>
      <c r="G45" s="2"/>
    </row>
    <row r="46" spans="2:7" x14ac:dyDescent="0.2">
      <c r="B46" s="2"/>
      <c r="C46" s="2"/>
      <c r="D46" s="2"/>
      <c r="E46" s="2"/>
      <c r="F46" s="2"/>
      <c r="G46" s="2"/>
    </row>
    <row r="47" spans="2:7" x14ac:dyDescent="0.2">
      <c r="B47" s="2"/>
      <c r="C47" s="2"/>
      <c r="D47" s="2"/>
      <c r="E47" s="2"/>
      <c r="F47" s="2"/>
      <c r="G47" s="2"/>
    </row>
    <row r="48" spans="2:7" x14ac:dyDescent="0.2">
      <c r="B48" s="3"/>
      <c r="C48" s="2"/>
      <c r="D48" s="2"/>
      <c r="E48" s="2"/>
      <c r="F48" s="2"/>
      <c r="G48" s="2"/>
    </row>
    <row r="49" spans="2:4" x14ac:dyDescent="0.2">
      <c r="B49" s="2"/>
      <c r="C49" s="2"/>
      <c r="D49"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0D7D8-35BC-4E32-9DE8-E2E435ADAAA0}">
  <dimension ref="A1:F11"/>
  <sheetViews>
    <sheetView zoomScaleNormal="100" workbookViewId="0">
      <selection activeCell="H8" sqref="H8"/>
    </sheetView>
  </sheetViews>
  <sheetFormatPr defaultColWidth="9.14453125" defaultRowHeight="37.5" x14ac:dyDescent="0.55000000000000004"/>
  <cols>
    <col min="1" max="6" width="30.66796875" style="4" customWidth="1"/>
    <col min="7" max="16384" width="9.14453125" style="4"/>
  </cols>
  <sheetData>
    <row r="1" spans="1:6" ht="99.95" customHeight="1" thickBot="1" x14ac:dyDescent="0.6">
      <c r="A1" s="113" t="s">
        <v>160</v>
      </c>
      <c r="B1" s="114"/>
      <c r="C1" s="114"/>
      <c r="D1" s="114"/>
      <c r="E1" s="114"/>
      <c r="F1" s="115"/>
    </row>
    <row r="2" spans="1:6" ht="99.95" customHeight="1" thickBot="1" x14ac:dyDescent="0.6">
      <c r="A2" s="99" t="s">
        <v>331</v>
      </c>
      <c r="B2" s="99" t="s">
        <v>331</v>
      </c>
      <c r="C2" s="99" t="s">
        <v>331</v>
      </c>
      <c r="D2" s="99" t="s">
        <v>331</v>
      </c>
      <c r="E2" s="99" t="s">
        <v>331</v>
      </c>
      <c r="F2" s="99" t="s">
        <v>331</v>
      </c>
    </row>
    <row r="3" spans="1:6" ht="99.95" customHeight="1" thickBot="1" x14ac:dyDescent="0.6">
      <c r="A3" s="91">
        <v>0</v>
      </c>
      <c r="B3" s="92">
        <v>1</v>
      </c>
      <c r="C3" s="92">
        <v>2</v>
      </c>
      <c r="D3" s="91">
        <v>3</v>
      </c>
      <c r="E3" s="92">
        <v>4</v>
      </c>
      <c r="F3" s="91">
        <v>5</v>
      </c>
    </row>
    <row r="4" spans="1:6" ht="99.95" customHeight="1" thickBot="1" x14ac:dyDescent="0.6">
      <c r="A4" s="93">
        <v>25</v>
      </c>
      <c r="B4" s="6" t="s">
        <v>329</v>
      </c>
      <c r="C4" s="6" t="s">
        <v>106</v>
      </c>
      <c r="D4" s="7" t="s">
        <v>110</v>
      </c>
      <c r="E4" s="6" t="s">
        <v>219</v>
      </c>
      <c r="F4" s="93">
        <v>6</v>
      </c>
    </row>
    <row r="5" spans="1:6" ht="99.95" customHeight="1" thickBot="1" x14ac:dyDescent="0.6">
      <c r="A5" s="94">
        <v>24</v>
      </c>
      <c r="B5" s="5" t="s">
        <v>88</v>
      </c>
      <c r="C5" s="5" t="s">
        <v>94</v>
      </c>
      <c r="D5" s="87" t="s">
        <v>98</v>
      </c>
      <c r="E5" s="5" t="s">
        <v>103</v>
      </c>
      <c r="F5" s="93">
        <v>7</v>
      </c>
    </row>
    <row r="6" spans="1:6" ht="99.95" customHeight="1" thickBot="1" x14ac:dyDescent="0.6">
      <c r="A6" s="93">
        <v>23</v>
      </c>
      <c r="B6" s="6" t="s">
        <v>118</v>
      </c>
      <c r="C6" s="6" t="s">
        <v>121</v>
      </c>
      <c r="D6" s="7" t="s">
        <v>238</v>
      </c>
      <c r="E6" s="6" t="s">
        <v>117</v>
      </c>
      <c r="F6" s="96">
        <v>8</v>
      </c>
    </row>
    <row r="7" spans="1:6" ht="99.95" customHeight="1" thickBot="1" x14ac:dyDescent="0.6">
      <c r="A7" s="94">
        <v>22</v>
      </c>
      <c r="B7" s="8" t="s">
        <v>124</v>
      </c>
      <c r="C7" s="8" t="s">
        <v>128</v>
      </c>
      <c r="D7" s="30" t="s">
        <v>130</v>
      </c>
      <c r="E7" s="8" t="s">
        <v>272</v>
      </c>
      <c r="F7" s="93">
        <v>9</v>
      </c>
    </row>
    <row r="8" spans="1:6" ht="99.95" customHeight="1" thickBot="1" x14ac:dyDescent="0.6">
      <c r="A8" s="93">
        <v>21</v>
      </c>
      <c r="B8" s="76" t="s">
        <v>158</v>
      </c>
      <c r="C8" s="110" t="s">
        <v>159</v>
      </c>
      <c r="D8" s="111"/>
      <c r="E8" s="112"/>
      <c r="F8" s="96">
        <v>10</v>
      </c>
    </row>
    <row r="9" spans="1:6" ht="99.95" customHeight="1" thickBot="1" x14ac:dyDescent="0.6">
      <c r="A9" s="94">
        <v>20</v>
      </c>
      <c r="B9" s="85" t="s">
        <v>124</v>
      </c>
      <c r="C9" s="6" t="s">
        <v>128</v>
      </c>
      <c r="D9" s="7" t="s">
        <v>130</v>
      </c>
      <c r="E9" s="86" t="s">
        <v>272</v>
      </c>
      <c r="F9" s="93">
        <v>11</v>
      </c>
    </row>
    <row r="10" spans="1:6" ht="99.95" customHeight="1" thickBot="1" x14ac:dyDescent="0.6">
      <c r="A10" s="93">
        <v>19</v>
      </c>
      <c r="B10" s="88" t="s">
        <v>132</v>
      </c>
      <c r="C10" s="89" t="s">
        <v>135</v>
      </c>
      <c r="D10" s="90" t="s">
        <v>257</v>
      </c>
      <c r="E10" s="89" t="s">
        <v>137</v>
      </c>
      <c r="F10" s="96">
        <v>12</v>
      </c>
    </row>
    <row r="11" spans="1:6" ht="99.95" customHeight="1" thickBot="1" x14ac:dyDescent="0.6">
      <c r="A11" s="95">
        <v>18</v>
      </c>
      <c r="B11" s="97">
        <v>17</v>
      </c>
      <c r="C11" s="98">
        <v>16</v>
      </c>
      <c r="D11" s="97">
        <v>15</v>
      </c>
      <c r="E11" s="98">
        <v>14</v>
      </c>
      <c r="F11" s="93">
        <v>13</v>
      </c>
    </row>
  </sheetData>
  <mergeCells count="2">
    <mergeCell ref="C8:E8"/>
    <mergeCell ref="A1:F1"/>
  </mergeCells>
  <pageMargins left="0.7" right="0.7" top="0.75" bottom="0.75" header="0.3" footer="0.3"/>
  <pageSetup paperSize="3"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B427C-0CB4-4E8D-8367-36F6DD891282}">
  <dimension ref="A1:CA6"/>
  <sheetViews>
    <sheetView zoomScaleNormal="60" zoomScaleSheetLayoutView="100" workbookViewId="0">
      <selection activeCell="H11" sqref="H11"/>
    </sheetView>
  </sheetViews>
  <sheetFormatPr defaultColWidth="19.7734375" defaultRowHeight="15" customHeight="1" x14ac:dyDescent="0.2"/>
  <cols>
    <col min="1" max="1" width="19.7734375" style="31"/>
    <col min="2" max="2" width="19.7734375" style="43"/>
    <col min="4" max="4" width="19.7734375" style="31"/>
    <col min="6" max="6" width="19.7734375" style="31"/>
    <col min="8" max="8" width="19.7734375" style="31"/>
    <col min="10" max="10" width="19.7734375" style="31"/>
    <col min="12" max="12" width="19.7734375" style="31"/>
    <col min="14" max="14" width="19.7734375" style="31"/>
    <col min="16" max="16" width="19.7734375" style="31"/>
    <col min="18" max="18" width="19.7734375" style="31"/>
    <col min="20" max="20" width="19.7734375" style="31"/>
    <col min="22" max="22" width="19.7734375" style="31"/>
    <col min="24" max="24" width="19.7734375" style="31"/>
    <col min="26" max="26" width="19.7734375" style="31"/>
    <col min="28" max="28" width="19.7734375" style="31"/>
    <col min="30" max="30" width="19.7734375" style="49"/>
    <col min="31" max="32" width="19.7734375" style="31" bestFit="1" customWidth="1"/>
    <col min="33" max="33" width="19.7734375" bestFit="1" customWidth="1"/>
    <col min="34" max="34" width="19.7734375" style="31" bestFit="1" customWidth="1"/>
    <col min="35" max="35" width="19.7734375" bestFit="1" customWidth="1"/>
    <col min="36" max="36" width="19.7734375" style="31" bestFit="1" customWidth="1"/>
    <col min="37" max="37" width="19.7734375" bestFit="1" customWidth="1"/>
    <col min="38" max="38" width="19.7734375" style="31" bestFit="1" customWidth="1"/>
    <col min="39" max="39" width="19.7734375" bestFit="1" customWidth="1"/>
    <col min="40" max="40" width="19.7734375" style="31" bestFit="1" customWidth="1"/>
    <col min="41" max="41" width="19.7734375" customWidth="1"/>
    <col min="42" max="42" width="19.7734375" style="31" bestFit="1" customWidth="1"/>
    <col min="43" max="43" width="19.7734375" bestFit="1" customWidth="1"/>
    <col min="44" max="44" width="19.7734375" style="31" bestFit="1" customWidth="1"/>
    <col min="45" max="45" width="19.7734375" bestFit="1" customWidth="1"/>
    <col min="46" max="46" width="19.7734375" style="31" bestFit="1" customWidth="1"/>
    <col min="47" max="47" width="19.7734375" bestFit="1" customWidth="1"/>
    <col min="48" max="48" width="19.7734375" style="31" bestFit="1" customWidth="1"/>
    <col min="49" max="49" width="19.7734375" bestFit="1" customWidth="1"/>
    <col min="50" max="50" width="19.7734375" style="49" bestFit="1" customWidth="1"/>
    <col min="51" max="51" width="19.7734375" style="31" bestFit="1" customWidth="1"/>
    <col min="52" max="52" width="19.7734375" bestFit="1" customWidth="1"/>
    <col min="53" max="53" width="19.7734375" style="31" bestFit="1" customWidth="1"/>
    <col min="54" max="54" width="19.7734375" bestFit="1" customWidth="1"/>
    <col min="55" max="55" width="19.7734375" style="31" bestFit="1" customWidth="1"/>
    <col min="56" max="56" width="19.7734375" bestFit="1" customWidth="1"/>
    <col min="57" max="57" width="19.7734375" style="31" bestFit="1" customWidth="1"/>
    <col min="58" max="58" width="19.7734375" bestFit="1" customWidth="1"/>
    <col min="59" max="59" width="19.7734375" style="31" bestFit="1" customWidth="1"/>
    <col min="60" max="60" width="19.7734375" style="49" bestFit="1" customWidth="1"/>
    <col min="61" max="61" width="19.7734375" style="31"/>
    <col min="63" max="63" width="19.7734375" style="31"/>
    <col min="65" max="65" width="19.7734375" style="31"/>
    <col min="67" max="67" width="19.7734375" style="31"/>
    <col min="69" max="70" width="19.7734375" style="31"/>
    <col min="71" max="71" width="19.7734375" style="43"/>
    <col min="73" max="73" width="19.7734375" style="31"/>
    <col min="75" max="75" width="19.7734375" style="31"/>
    <col min="77" max="77" width="19.7734375" style="31"/>
    <col min="79" max="79" width="19.7734375" style="31"/>
  </cols>
  <sheetData>
    <row r="1" spans="1:79" s="47" customFormat="1" ht="39.950000000000003" customHeight="1" x14ac:dyDescent="0.3">
      <c r="A1" s="45" t="str">
        <f>Cards!A2</f>
        <v>Fillibuster</v>
      </c>
      <c r="B1" s="46" t="str">
        <f>Cards!A3</f>
        <v>Skillful Orators</v>
      </c>
      <c r="C1" s="47" t="str">
        <f>Cards!A4</f>
        <v>Collection Stations</v>
      </c>
      <c r="D1" s="45" t="str">
        <f>Cards!A5</f>
        <v>Brown Nose</v>
      </c>
      <c r="E1" s="47" t="str">
        <f>Cards!A6</f>
        <v>Mysterious Windfalls</v>
      </c>
      <c r="F1" s="45" t="str">
        <f>Cards!A7</f>
        <v>Lobbyists</v>
      </c>
      <c r="G1" s="47" t="str">
        <f>Cards!A8</f>
        <v>Loyal Citizenry</v>
      </c>
      <c r="H1" s="45" t="str">
        <f>Cards!A9</f>
        <v>Silver-Tongue</v>
      </c>
      <c r="I1" s="47" t="str">
        <f>Cards!A8</f>
        <v>Loyal Citizenry</v>
      </c>
      <c r="J1" s="45" t="str">
        <f>Cards!A9</f>
        <v>Silver-Tongue</v>
      </c>
      <c r="K1" s="47" t="str">
        <f>Cards!A10</f>
        <v>Royal Bribes</v>
      </c>
      <c r="L1" s="45" t="str">
        <f>Cards!A11</f>
        <v>Courtroom Gambling</v>
      </c>
      <c r="M1" s="47" t="str">
        <f>Cards!A12</f>
        <v>Market Niche</v>
      </c>
      <c r="N1" s="45" t="str">
        <f>Cards!A13</f>
        <v>Genius Commanders</v>
      </c>
      <c r="O1" s="47" t="str">
        <f>Cards!A14</f>
        <v>Damage Redemption</v>
      </c>
      <c r="P1" s="45" t="str">
        <f>Cards!A15</f>
        <v>Inspiring Command</v>
      </c>
      <c r="Q1" s="47" t="str">
        <f>Cards!A16</f>
        <v>Undeniable Advisors</v>
      </c>
      <c r="R1" s="45" t="str">
        <f>Cards!A17</f>
        <v>Bulk Purchaser</v>
      </c>
      <c r="S1" s="47" t="str">
        <f>Cards!A18</f>
        <v>Valuable Cargo</v>
      </c>
      <c r="T1" s="45" t="str">
        <f>Cards!A19</f>
        <v>Elite Troops</v>
      </c>
      <c r="U1" s="47" t="str">
        <f>Cards!A20</f>
        <v>Bazaar</v>
      </c>
      <c r="V1" s="45" t="str">
        <f>Cards!A21</f>
        <v>Caravansaray</v>
      </c>
      <c r="W1" s="47" t="str">
        <f>Cards!A22</f>
        <v>War Machines</v>
      </c>
      <c r="X1" s="45" t="str">
        <f>Cards!A23</f>
        <v>Boasting Propaganda</v>
      </c>
      <c r="Y1" s="47" t="str">
        <f>Cards!A24</f>
        <v>Mock Trials</v>
      </c>
      <c r="Z1" s="45" t="str">
        <f>Cards!A25</f>
        <v>Eager Laborers</v>
      </c>
      <c r="AA1" s="47" t="str">
        <f>Cards!A26</f>
        <v>Wary Guards</v>
      </c>
      <c r="AB1" s="45" t="str">
        <f>Cards!A27</f>
        <v>Information Security</v>
      </c>
      <c r="AC1" s="47" t="str">
        <f>Cards!A28</f>
        <v>Blood Pact</v>
      </c>
      <c r="AD1" s="48" t="str">
        <f>Cards!A29</f>
        <v>Expert Broker</v>
      </c>
      <c r="AE1" s="45" t="str">
        <f>Cards!A30</f>
        <v>Codependent Relationship</v>
      </c>
      <c r="AF1" s="45" t="str">
        <f>Cards!A31</f>
        <v>Dangerous Promises</v>
      </c>
      <c r="AG1" s="47" t="str">
        <f>Cards!A32</f>
        <v>Large Middle Class</v>
      </c>
      <c r="AH1" s="45" t="str">
        <f>Cards!A33</f>
        <v>Innovation Hub</v>
      </c>
      <c r="AI1" s="47" t="str">
        <f>Cards!A34</f>
        <v>Fire Temple</v>
      </c>
      <c r="AJ1" s="45" t="str">
        <f>Cards!A35</f>
        <v>Kingdom Advocates</v>
      </c>
      <c r="AK1" s="47" t="str">
        <f>Cards!A36</f>
        <v>One Man's Trash</v>
      </c>
      <c r="AL1" s="45" t="str">
        <f>Cards!A37</f>
        <v>Abusive Power</v>
      </c>
      <c r="AM1" s="47" t="str">
        <f>Cards!A38</f>
        <v>Painful Progress</v>
      </c>
      <c r="AN1" s="45" t="str">
        <f>Cards!A39</f>
        <v>Iron Command</v>
      </c>
      <c r="AO1" s="47" t="str">
        <f t="shared" ref="AO1:AX2" si="0">A1</f>
        <v>Fillibuster</v>
      </c>
      <c r="AP1" s="45" t="str">
        <f t="shared" si="0"/>
        <v>Skillful Orators</v>
      </c>
      <c r="AQ1" s="47" t="str">
        <f t="shared" si="0"/>
        <v>Collection Stations</v>
      </c>
      <c r="AR1" s="45" t="str">
        <f t="shared" si="0"/>
        <v>Brown Nose</v>
      </c>
      <c r="AS1" s="47" t="str">
        <f t="shared" si="0"/>
        <v>Mysterious Windfalls</v>
      </c>
      <c r="AT1" s="45" t="str">
        <f t="shared" si="0"/>
        <v>Lobbyists</v>
      </c>
      <c r="AU1" s="47" t="str">
        <f t="shared" si="0"/>
        <v>Loyal Citizenry</v>
      </c>
      <c r="AV1" s="45" t="str">
        <f t="shared" si="0"/>
        <v>Silver-Tongue</v>
      </c>
      <c r="AW1" s="47" t="str">
        <f t="shared" si="0"/>
        <v>Loyal Citizenry</v>
      </c>
      <c r="AX1" s="48" t="str">
        <f t="shared" si="0"/>
        <v>Silver-Tongue</v>
      </c>
      <c r="AY1" s="45" t="str">
        <f t="shared" ref="AY1:BH2" si="1">K1</f>
        <v>Royal Bribes</v>
      </c>
      <c r="AZ1" s="47" t="str">
        <f t="shared" si="1"/>
        <v>Courtroom Gambling</v>
      </c>
      <c r="BA1" s="45" t="str">
        <f t="shared" si="1"/>
        <v>Market Niche</v>
      </c>
      <c r="BB1" s="47" t="str">
        <f t="shared" si="1"/>
        <v>Genius Commanders</v>
      </c>
      <c r="BC1" s="45" t="str">
        <f t="shared" si="1"/>
        <v>Damage Redemption</v>
      </c>
      <c r="BD1" s="47" t="str">
        <f t="shared" si="1"/>
        <v>Inspiring Command</v>
      </c>
      <c r="BE1" s="45" t="str">
        <f t="shared" si="1"/>
        <v>Undeniable Advisors</v>
      </c>
      <c r="BF1" s="47" t="str">
        <f t="shared" si="1"/>
        <v>Bulk Purchaser</v>
      </c>
      <c r="BG1" s="45" t="str">
        <f t="shared" si="1"/>
        <v>Valuable Cargo</v>
      </c>
      <c r="BH1" s="48" t="str">
        <f t="shared" si="1"/>
        <v>Elite Troops</v>
      </c>
      <c r="BI1" s="45" t="str">
        <f t="shared" ref="BI1:BR2" si="2">U1</f>
        <v>Bazaar</v>
      </c>
      <c r="BJ1" s="47" t="str">
        <f t="shared" si="2"/>
        <v>Caravansaray</v>
      </c>
      <c r="BK1" s="45" t="str">
        <f t="shared" si="2"/>
        <v>War Machines</v>
      </c>
      <c r="BL1" s="47" t="str">
        <f t="shared" si="2"/>
        <v>Boasting Propaganda</v>
      </c>
      <c r="BM1" s="45" t="str">
        <f t="shared" si="2"/>
        <v>Mock Trials</v>
      </c>
      <c r="BN1" s="47" t="str">
        <f t="shared" si="2"/>
        <v>Eager Laborers</v>
      </c>
      <c r="BO1" s="45" t="str">
        <f t="shared" si="2"/>
        <v>Wary Guards</v>
      </c>
      <c r="BP1" s="47" t="str">
        <f t="shared" si="2"/>
        <v>Information Security</v>
      </c>
      <c r="BQ1" s="45" t="str">
        <f t="shared" si="2"/>
        <v>Blood Pact</v>
      </c>
      <c r="BR1" s="45" t="str">
        <f t="shared" si="2"/>
        <v>Expert Broker</v>
      </c>
      <c r="BS1" s="45"/>
      <c r="BU1" s="45"/>
      <c r="BW1" s="45"/>
      <c r="BY1" s="45"/>
      <c r="CA1" s="45"/>
    </row>
    <row r="2" spans="1:79" s="70" customFormat="1" ht="105.75" customHeight="1" thickBot="1" x14ac:dyDescent="0.25">
      <c r="A2" s="71" t="str">
        <f>Cards!B2</f>
        <v>Move the deliberated Law one additional place back in the queue for each card level during Postpone</v>
      </c>
      <c r="B2" s="71" t="str">
        <f>Cards!B3</f>
        <v>Move the Law one additional place forward in the queue for each card level during Prioritize</v>
      </c>
      <c r="C2" s="70" t="str">
        <f>Cards!B4</f>
        <v xml:space="preserve">You may keep up to one additional Coin for each card level when Taxing other Players </v>
      </c>
      <c r="D2" s="71" t="str">
        <f>Cards!B5</f>
        <v>Gain one additional Coin for each card level during Flatter</v>
      </c>
      <c r="E2" s="70" t="str">
        <f>Cards!B6</f>
        <v>Gain one more Commodity per Coin for each card level when Buying from the Undermarket</v>
      </c>
      <c r="F2" s="71" t="str">
        <f>Cards!B7</f>
        <v>Add one additional Law card to the bottom of the queue for each card level during Petition</v>
      </c>
      <c r="G2" s="70" t="str">
        <f>Cards!B8</f>
        <v>Purchase up to one additional Troop for each card level Recruit</v>
      </c>
      <c r="H2" s="71" t="str">
        <f>Cards!B9</f>
        <v>Purchase up to one additional Spy for each card level Infiltrate</v>
      </c>
      <c r="I2" s="71" t="str">
        <f>Cards!B8</f>
        <v>Purchase up to one additional Troop for each card level Recruit</v>
      </c>
      <c r="J2" s="71" t="str">
        <f>Cards!B9</f>
        <v>Purchase up to one additional Spy for each card level Infiltrate</v>
      </c>
      <c r="K2" s="70" t="str">
        <f>Cards!B10</f>
        <v>Gain one more Commodity per Coin for each card level when Buying from the Court</v>
      </c>
      <c r="L2" s="71" t="str">
        <f>Cards!B11</f>
        <v>Gain one additional Coin from outside the Royal Bank for each card level when winning a Trial</v>
      </c>
      <c r="M2" s="70" t="str">
        <f>Cards!B12</f>
        <v>Spend one fewer Card per Coin for each card level when Monetizing in the Undermarket</v>
      </c>
      <c r="N2" s="71" t="str">
        <f>Cards!B13</f>
        <v>Draw one additional card from any decks for each card level during Brainstorm</v>
      </c>
      <c r="O2" s="70" t="str">
        <f>Cards!B14</f>
        <v>Purchase one Spy for each card level when targeted by a Scheme</v>
      </c>
      <c r="P2" s="71" t="str">
        <f>Cards!B15</f>
        <v xml:space="preserve">You may repeat Provincial Actions with Leaders that have at least level 7 - card level </v>
      </c>
      <c r="Q2" s="70" t="str">
        <f>Cards!B16</f>
        <v>You may repeat one Court Action for each card level per round</v>
      </c>
      <c r="R2" s="71" t="str">
        <f>Cards!B17</f>
        <v>Trade up to one additional Coin for each card level when Buying from the Court</v>
      </c>
      <c r="S2" s="70" t="str">
        <f>Cards!B18</f>
        <v>Trade for up to one additional Coin for each card level when Selling to the Court</v>
      </c>
      <c r="T2" s="71" t="str">
        <f>Cards!B19</f>
        <v>Gain one additional Coin from the Royal Bank for each card level when Deploying Troops</v>
      </c>
      <c r="U2" s="70" t="str">
        <f>Cards!B20</f>
        <v>Provides private Buy Action at Market Rate + card level</v>
      </c>
      <c r="V2" s="71" t="str">
        <f>Cards!B21</f>
        <v>Provides private Sell Action at Market Rate - card level</v>
      </c>
      <c r="W2" s="70" t="str">
        <f>Cards!B22</f>
        <v>After deploying, purchase and immediately deploy up to one Troop for each card level, but no more than your deployed Troops.</v>
      </c>
      <c r="X2" s="71" t="str">
        <f>Cards!B23</f>
        <v>Convert one additional Coin during Court Donate</v>
      </c>
      <c r="Y2" s="70" t="str">
        <f>Cards!B24</f>
        <v>Add one additional die for each card level to each Roll during a Trial</v>
      </c>
      <c r="Z2" s="71" t="str">
        <f>Cards!B25</f>
        <v>Collect one additional Commodity for each card level during Collect</v>
      </c>
      <c r="AA2" s="70" t="str">
        <f>Cards!B26</f>
        <v>Subtract the card level from Scheme Evasion rolls. An unmodified 6 always succeeds.</v>
      </c>
      <c r="AB2" s="71" t="str">
        <f>Cards!B27</f>
        <v>Subtract the card level from Scheme Damage rolls</v>
      </c>
      <c r="AC2" s="70" t="str">
        <f>Cards!B28</f>
        <v>Spend one fewer Commodity for each card level per Coin when Selling to the Undermarket</v>
      </c>
      <c r="AD2" s="72" t="str">
        <f>Cards!B29</f>
        <v>Spend one fewer Commodity for each card level per Coin when Selling to the Court</v>
      </c>
      <c r="AE2" s="71" t="str">
        <f>Cards!B30</f>
        <v>Trade up to one additional Coin for each card level when Buying from the Undermarket</v>
      </c>
      <c r="AF2" s="71" t="str">
        <f>Cards!B31</f>
        <v>Trade for up to one additional Coin for each card level when Selling to the Undermarket</v>
      </c>
      <c r="AG2" s="70" t="str">
        <f>Cards!B32</f>
        <v>Trade for up to one additional Coin for each card level when Monetizing in the Undermarket</v>
      </c>
      <c r="AH2" s="71" t="str">
        <f>Cards!B33</f>
        <v>Provides private Monetize Action at Market Rate + card level</v>
      </c>
      <c r="AI2" s="70" t="str">
        <f>Cards!B34</f>
        <v>Spend one fewer Card for each card level per Coin when Monetizing in the Court</v>
      </c>
      <c r="AJ2" s="71" t="str">
        <f>Cards!B35</f>
        <v>Trade for up to one additional Coin  for each card level when Monetizing in the Court</v>
      </c>
      <c r="AK2" s="70" t="str">
        <f>Cards!B36</f>
        <v>Draw one additional card for each card level from the top of any discard pile during Brainstorm</v>
      </c>
      <c r="AL2" s="71" t="str">
        <f>Cards!B37</f>
        <v>Convert one additional Coin for each card level during Undermarket Donate</v>
      </c>
      <c r="AM2" s="70" t="str">
        <f>Cards!B38</f>
        <v>You may pay 7 - the card level Commodities to repeat Undermarket Actions</v>
      </c>
      <c r="AN2" s="71" t="str">
        <f>Cards!B39</f>
        <v>Deploy one additional Troop for each card level during Deploy</v>
      </c>
      <c r="AO2" s="70" t="str">
        <f t="shared" si="0"/>
        <v>Move the deliberated Law one additional place back in the queue for each card level during Postpone</v>
      </c>
      <c r="AP2" s="71" t="str">
        <f t="shared" si="0"/>
        <v>Move the Law one additional place forward in the queue for each card level during Prioritize</v>
      </c>
      <c r="AQ2" s="70" t="str">
        <f t="shared" si="0"/>
        <v xml:space="preserve">You may keep up to one additional Coin for each card level when Taxing other Players </v>
      </c>
      <c r="AR2" s="71" t="str">
        <f t="shared" si="0"/>
        <v>Gain one additional Coin for each card level during Flatter</v>
      </c>
      <c r="AS2" s="70" t="str">
        <f t="shared" si="0"/>
        <v>Gain one more Commodity per Coin for each card level when Buying from the Undermarket</v>
      </c>
      <c r="AT2" s="71" t="str">
        <f t="shared" si="0"/>
        <v>Add one additional Law card to the bottom of the queue for each card level during Petition</v>
      </c>
      <c r="AU2" s="70" t="str">
        <f t="shared" si="0"/>
        <v>Purchase up to one additional Troop for each card level Recruit</v>
      </c>
      <c r="AV2" s="71" t="str">
        <f t="shared" si="0"/>
        <v>Purchase up to one additional Spy for each card level Infiltrate</v>
      </c>
      <c r="AW2" s="70" t="str">
        <f t="shared" si="0"/>
        <v>Purchase up to one additional Troop for each card level Recruit</v>
      </c>
      <c r="AX2" s="72" t="str">
        <f t="shared" si="0"/>
        <v>Purchase up to one additional Spy for each card level Infiltrate</v>
      </c>
      <c r="AY2" s="71" t="str">
        <f t="shared" si="1"/>
        <v>Gain one more Commodity per Coin for each card level when Buying from the Court</v>
      </c>
      <c r="AZ2" s="70" t="str">
        <f t="shared" si="1"/>
        <v>Gain one additional Coin from outside the Royal Bank for each card level when winning a Trial</v>
      </c>
      <c r="BA2" s="71" t="str">
        <f t="shared" si="1"/>
        <v>Spend one fewer Card per Coin for each card level when Monetizing in the Undermarket</v>
      </c>
      <c r="BB2" s="70" t="str">
        <f t="shared" si="1"/>
        <v>Draw one additional card from any decks for each card level during Brainstorm</v>
      </c>
      <c r="BC2" s="71" t="str">
        <f t="shared" si="1"/>
        <v>Purchase one Spy for each card level when targeted by a Scheme</v>
      </c>
      <c r="BD2" s="70" t="str">
        <f t="shared" si="1"/>
        <v xml:space="preserve">You may repeat Provincial Actions with Leaders that have at least level 7 - card level </v>
      </c>
      <c r="BE2" s="71" t="str">
        <f t="shared" si="1"/>
        <v>You may repeat one Court Action for each card level per round</v>
      </c>
      <c r="BF2" s="70" t="str">
        <f t="shared" si="1"/>
        <v>Trade up to one additional Coin for each card level when Buying from the Court</v>
      </c>
      <c r="BG2" s="71" t="str">
        <f t="shared" si="1"/>
        <v>Trade for up to one additional Coin for each card level when Selling to the Court</v>
      </c>
      <c r="BH2" s="72" t="str">
        <f t="shared" si="1"/>
        <v>Gain one additional Coin from the Royal Bank for each card level when Deploying Troops</v>
      </c>
      <c r="BI2" s="71" t="str">
        <f t="shared" si="2"/>
        <v>Provides private Buy Action at Market Rate + card level</v>
      </c>
      <c r="BJ2" s="70" t="str">
        <f t="shared" si="2"/>
        <v>Provides private Sell Action at Market Rate - card level</v>
      </c>
      <c r="BK2" s="71" t="str">
        <f t="shared" si="2"/>
        <v>After deploying, purchase and immediately deploy up to one Troop for each card level, but no more than your deployed Troops.</v>
      </c>
      <c r="BL2" s="70" t="str">
        <f t="shared" si="2"/>
        <v>Convert one additional Coin during Court Donate</v>
      </c>
      <c r="BM2" s="71" t="str">
        <f t="shared" si="2"/>
        <v>Add one additional die for each card level to each Roll during a Trial</v>
      </c>
      <c r="BN2" s="70" t="str">
        <f t="shared" si="2"/>
        <v>Collect one additional Commodity for each card level during Collect</v>
      </c>
      <c r="BO2" s="71" t="str">
        <f t="shared" si="2"/>
        <v>Subtract the card level from Scheme Evasion rolls. An unmodified 6 always succeeds.</v>
      </c>
      <c r="BP2" s="70" t="str">
        <f t="shared" si="2"/>
        <v>Subtract the card level from Scheme Damage rolls</v>
      </c>
      <c r="BQ2" s="50" t="str">
        <f t="shared" si="2"/>
        <v>Spend one fewer Commodity for each card level per Coin when Selling to the Undermarket</v>
      </c>
      <c r="BR2" s="71" t="str">
        <f t="shared" si="2"/>
        <v>Spend one fewer Commodity for each card level per Coin when Selling to the Court</v>
      </c>
      <c r="BS2" s="50"/>
      <c r="BU2" s="71"/>
      <c r="BW2" s="71"/>
      <c r="BY2" s="71"/>
      <c r="CA2" s="71"/>
    </row>
    <row r="3" spans="1:79" s="47" customFormat="1" ht="39.950000000000003" customHeight="1" x14ac:dyDescent="0.3">
      <c r="A3" s="45" t="str">
        <f>Cards!D2</f>
        <v>Full Coffers</v>
      </c>
      <c r="B3" s="46" t="str">
        <f>Cards!D3</f>
        <v xml:space="preserve">Decentralized Wealth </v>
      </c>
      <c r="C3" s="47" t="str">
        <f>Cards!D4</f>
        <v>Second Thoughts</v>
      </c>
      <c r="D3" s="45" t="str">
        <f>Cards!D5</f>
        <v>Changing Times</v>
      </c>
      <c r="E3" s="47" t="str">
        <f>Cards!D6</f>
        <v>Stable Economies</v>
      </c>
      <c r="F3" s="45" t="str">
        <f>Cards!D7</f>
        <v>Unreasonable Distractions</v>
      </c>
      <c r="G3" s="47" t="str">
        <f>Cards!D8</f>
        <v>Irregular Partiality</v>
      </c>
      <c r="H3" s="45" t="str">
        <f>Cards!D9</f>
        <v>Royal Amendment</v>
      </c>
      <c r="I3" s="47" t="str">
        <f>Cards!D10</f>
        <v>Honorable Accountability</v>
      </c>
      <c r="J3" s="45" t="str">
        <f>Cards!D11</f>
        <v>Frivolous Pursuits</v>
      </c>
      <c r="K3" s="47" t="str">
        <f>Cards!D12</f>
        <v>Economic Backbone</v>
      </c>
      <c r="L3" s="45" t="str">
        <f>Cards!D13</f>
        <v>Collective Ownership</v>
      </c>
      <c r="M3" s="47" t="str">
        <f>Cards!D14</f>
        <v>Aggressive Tactics</v>
      </c>
      <c r="N3" s="45" t="str">
        <f>Cards!D15</f>
        <v>Home Defense</v>
      </c>
      <c r="O3" s="47" t="str">
        <f>Cards!D16</f>
        <v>Valuable Advisors</v>
      </c>
      <c r="P3" s="45" t="str">
        <f>Cards!D17</f>
        <v>Chattering Windbags</v>
      </c>
      <c r="Q3" s="47" t="str">
        <f>Cards!D18</f>
        <v>Realistic Priorities</v>
      </c>
      <c r="R3" s="45" t="str">
        <f>Cards!D19</f>
        <v>Threat to the Throne</v>
      </c>
      <c r="S3" s="47" t="str">
        <f>Cards!D20</f>
        <v>Stone Foundations</v>
      </c>
      <c r="T3" s="45" t="str">
        <f>Cards!D21</f>
        <v>Environmental Guardians</v>
      </c>
      <c r="U3" s="47" t="str">
        <f>Cards!D22</f>
        <v>Resilient Officer Corps</v>
      </c>
      <c r="V3" s="45" t="str">
        <f>Cards!D23</f>
        <v>Bloated Bureaucracy</v>
      </c>
      <c r="W3" s="47" t="str">
        <f>Cards!D24</f>
        <v>Police Force</v>
      </c>
      <c r="X3" s="45" t="str">
        <f>Cards!D25</f>
        <v>Equal Partners</v>
      </c>
      <c r="Y3" s="47" t="str">
        <f>Cards!D26</f>
        <v>Criminal Identification</v>
      </c>
      <c r="Z3" s="45" t="str">
        <f>Cards!D27</f>
        <v>Honorable Marketplace</v>
      </c>
      <c r="AA3" s="47" t="str">
        <f>Cards!D28</f>
        <v>Engaged Empire</v>
      </c>
      <c r="AB3" s="45" t="str">
        <f>Cards!D29</f>
        <v>Suspicious Advisors</v>
      </c>
      <c r="AC3" s="47" t="str">
        <f>Cards!D30</f>
        <v>Contingency Plans</v>
      </c>
      <c r="AD3" s="48" t="str">
        <f>Cards!D31</f>
        <v>Worthless Procrastinators</v>
      </c>
      <c r="AE3" s="45" t="str">
        <f>Cards!D32</f>
        <v>Stalled Front</v>
      </c>
      <c r="AF3" s="45" t="str">
        <f>Cards!D33</f>
        <v>Quality Strength</v>
      </c>
      <c r="AG3" s="47" t="str">
        <f t="shared" ref="AG3:BL3" si="3">A3</f>
        <v>Full Coffers</v>
      </c>
      <c r="AH3" s="45" t="str">
        <f t="shared" si="3"/>
        <v xml:space="preserve">Decentralized Wealth </v>
      </c>
      <c r="AI3" s="47" t="str">
        <f t="shared" si="3"/>
        <v>Second Thoughts</v>
      </c>
      <c r="AJ3" s="45" t="str">
        <f t="shared" si="3"/>
        <v>Changing Times</v>
      </c>
      <c r="AK3" s="47" t="str">
        <f t="shared" si="3"/>
        <v>Stable Economies</v>
      </c>
      <c r="AL3" s="45" t="str">
        <f t="shared" si="3"/>
        <v>Unreasonable Distractions</v>
      </c>
      <c r="AM3" s="47" t="str">
        <f t="shared" si="3"/>
        <v>Irregular Partiality</v>
      </c>
      <c r="AN3" s="45" t="str">
        <f t="shared" si="3"/>
        <v>Royal Amendment</v>
      </c>
      <c r="AO3" s="47" t="str">
        <f t="shared" si="3"/>
        <v>Honorable Accountability</v>
      </c>
      <c r="AP3" s="45" t="str">
        <f t="shared" si="3"/>
        <v>Frivolous Pursuits</v>
      </c>
      <c r="AQ3" s="47" t="str">
        <f t="shared" si="3"/>
        <v>Economic Backbone</v>
      </c>
      <c r="AR3" s="45" t="str">
        <f t="shared" si="3"/>
        <v>Collective Ownership</v>
      </c>
      <c r="AS3" s="47" t="str">
        <f t="shared" si="3"/>
        <v>Aggressive Tactics</v>
      </c>
      <c r="AT3" s="45" t="str">
        <f t="shared" si="3"/>
        <v>Home Defense</v>
      </c>
      <c r="AU3" s="47" t="str">
        <f t="shared" si="3"/>
        <v>Valuable Advisors</v>
      </c>
      <c r="AV3" s="45" t="str">
        <f t="shared" si="3"/>
        <v>Chattering Windbags</v>
      </c>
      <c r="AW3" s="47" t="str">
        <f t="shared" si="3"/>
        <v>Realistic Priorities</v>
      </c>
      <c r="AX3" s="48" t="str">
        <f t="shared" si="3"/>
        <v>Threat to the Throne</v>
      </c>
      <c r="AY3" s="45" t="str">
        <f t="shared" si="3"/>
        <v>Stone Foundations</v>
      </c>
      <c r="AZ3" s="47" t="str">
        <f t="shared" si="3"/>
        <v>Environmental Guardians</v>
      </c>
      <c r="BA3" s="45" t="str">
        <f t="shared" si="3"/>
        <v>Resilient Officer Corps</v>
      </c>
      <c r="BB3" s="47" t="str">
        <f t="shared" si="3"/>
        <v>Bloated Bureaucracy</v>
      </c>
      <c r="BC3" s="45" t="str">
        <f t="shared" si="3"/>
        <v>Police Force</v>
      </c>
      <c r="BD3" s="47" t="str">
        <f t="shared" si="3"/>
        <v>Equal Partners</v>
      </c>
      <c r="BE3" s="45" t="str">
        <f t="shared" si="3"/>
        <v>Criminal Identification</v>
      </c>
      <c r="BF3" s="47" t="str">
        <f t="shared" si="3"/>
        <v>Honorable Marketplace</v>
      </c>
      <c r="BG3" s="45" t="str">
        <f t="shared" si="3"/>
        <v>Engaged Empire</v>
      </c>
      <c r="BH3" s="48" t="str">
        <f t="shared" si="3"/>
        <v>Suspicious Advisors</v>
      </c>
      <c r="BI3" s="45" t="str">
        <f t="shared" si="3"/>
        <v>Contingency Plans</v>
      </c>
      <c r="BJ3" s="47" t="str">
        <f t="shared" si="3"/>
        <v>Worthless Procrastinators</v>
      </c>
      <c r="BK3" s="45" t="str">
        <f t="shared" si="3"/>
        <v>Stalled Front</v>
      </c>
      <c r="BL3" s="47" t="str">
        <f t="shared" si="3"/>
        <v>Quality Strength</v>
      </c>
      <c r="BM3" s="45"/>
      <c r="BN3" s="47" t="str">
        <f t="shared" ref="BN3:BR4" si="4">AJ1</f>
        <v>Kingdom Advocates</v>
      </c>
      <c r="BO3" s="45" t="str">
        <f t="shared" si="4"/>
        <v>One Man's Trash</v>
      </c>
      <c r="BP3" s="47" t="str">
        <f t="shared" si="4"/>
        <v>Abusive Power</v>
      </c>
      <c r="BQ3" s="45" t="str">
        <f t="shared" si="4"/>
        <v>Painful Progress</v>
      </c>
      <c r="BR3" s="45" t="str">
        <f t="shared" si="4"/>
        <v>Iron Command</v>
      </c>
      <c r="BS3" s="46"/>
      <c r="BU3" s="45"/>
      <c r="BW3" s="45"/>
      <c r="BY3" s="45"/>
      <c r="CA3" s="45"/>
    </row>
    <row r="4" spans="1:79" s="52" customFormat="1" ht="105.75" customHeight="1" thickBot="1" x14ac:dyDescent="0.25">
      <c r="A4" s="50" t="str">
        <f>Cards!E2</f>
        <v>The Royal Bank must have at least one Coin per card level or all Players suffer sanctions on Undermarket Actions</v>
      </c>
      <c r="B4" s="51" t="str">
        <f>Cards!E3</f>
        <v>The Royal Bank may not have more than one Coin per card level or all Players suffer sanctions on Undermarket Actions</v>
      </c>
      <c r="C4" s="52" t="str">
        <f>Cards!E4</f>
        <v>Change the boundary of an active Law</v>
      </c>
      <c r="D4" s="50" t="str">
        <f>Cards!E5</f>
        <v>Change the boundary of an active Law</v>
      </c>
      <c r="E4" s="52" t="str">
        <f>Cards!E6</f>
        <v>Each Player must have at least 3 + card level Investments or they will suffer sanctions on Commission</v>
      </c>
      <c r="F4" s="50" t="str">
        <f>Cards!E7</f>
        <v>No Player may have more than 3 + card level Investments or they will suffer sanctions on Commission</v>
      </c>
      <c r="G4" s="52" t="str">
        <f>Cards!E8</f>
        <v>Change the boundary of an active Law</v>
      </c>
      <c r="H4" s="50" t="str">
        <f>Cards!E9</f>
        <v>Change the boundary of an active Law</v>
      </c>
      <c r="I4" s="52" t="str">
        <f>Cards!E10</f>
        <v>Each Player must Sue using a Leader with at least the card level this round or they will suffer sanctions on Deploy</v>
      </c>
      <c r="J4" s="50" t="str">
        <f>Cards!E11</f>
        <v>No Player may Sue using a Leader higher than the card level this round or they will suffer sanctions on Deploy</v>
      </c>
      <c r="K4" s="52" t="str">
        <f>Cards!E12</f>
        <v>Each Player must have an Investment with at least the card level or they will suffer sanctions on Infiltrate</v>
      </c>
      <c r="L4" s="50" t="str">
        <f>Cards!E13</f>
        <v>No Player may have an Investment higher than the card level or they will suffer sanctions on Infiltrate</v>
      </c>
      <c r="M4" s="52" t="str">
        <f>Cards!E14</f>
        <v>Each Player must deploy at least one Troop per card level or they will suffer sanctions on Petition</v>
      </c>
      <c r="N4" s="50" t="str">
        <f>Cards!E15</f>
        <v>No Player may deploy more than one Troop per card level or they will suffer sanctions on Petition</v>
      </c>
      <c r="O4" s="52" t="str">
        <f>Cards!E16</f>
        <v>Each Player must have at least one sponsored Law per card level in the Edicts or in the Queue or they will suffer sanctions on Tax</v>
      </c>
      <c r="P4" s="50" t="str">
        <f>Cards!E17</f>
        <v>No Player may have more than one sponsored Law per card level in the Edicts or in the queue or they will suffer sanctions on Tax</v>
      </c>
      <c r="Q4" s="52" t="str">
        <f>Cards!E18</f>
        <v>Each Player must have a Leader with at least the card level or they will suffer sanctions on Sue</v>
      </c>
      <c r="R4" s="50" t="str">
        <f>Cards!E19</f>
        <v>No Player may have a Leader higher than the card level or they will suffer sanctions on Sue</v>
      </c>
      <c r="S4" s="52" t="str">
        <f>Cards!E20</f>
        <v>Each Player must Collect at least one Commodity per card level this round or they will suffer sanctions on Recruit</v>
      </c>
      <c r="T4" s="50" t="str">
        <f>Cards!E21</f>
        <v>No Player may Collect more than one Commodity per card level this round or they will suffer sanctions on Recruit</v>
      </c>
      <c r="U4" s="52" t="str">
        <f>Cards!E22</f>
        <v>Each Player must have at least 3 + card level Leaders or they will suffer sanctions on Build &amp; Upgrade</v>
      </c>
      <c r="V4" s="50" t="str">
        <f>Cards!E23</f>
        <v>No Player may have more than 3 + card level Leaders or they will suffer sanctions on Build &amp; Upgrade</v>
      </c>
      <c r="W4" s="52" t="str">
        <f>Cards!E24</f>
        <v>Each Player must have at least one Troop per card level or they will suffer sanctions on Collect</v>
      </c>
      <c r="X4" s="50" t="str">
        <f>Cards!E25</f>
        <v>No Player may have more than one Troop per card level or they will suffer sanctions on Collect</v>
      </c>
      <c r="Y4" s="52" t="str">
        <f>Cards!E26</f>
        <v>At least one Player per card level must use Undermarket Actions or all Players suffer sanctions on Prioritize</v>
      </c>
      <c r="Z4" s="50" t="str">
        <f>Cards!E27</f>
        <v>No more than one Player per card level may use Undermarket Actions or all Players suffer sanctions on Prioritize</v>
      </c>
      <c r="AA4" s="52" t="str">
        <f>Cards!E28</f>
        <v>At least one Player per card level must use Court Actions or all Players suffer sanctions on Flatter</v>
      </c>
      <c r="AB4" s="50" t="str">
        <f>Cards!E29</f>
        <v>No more than one Player per card level may use Court Actions or all Players suffer sanctions on Flatter</v>
      </c>
      <c r="AC4" s="52" t="str">
        <f>Cards!E30</f>
        <v>Each Player must have at least one Card per card level of each type in hand or they will suffer sanctions on Monetize</v>
      </c>
      <c r="AD4" s="53" t="str">
        <f>Cards!E31</f>
        <v>No Player may have more than one Card per card level of each type in their hand or they will suffer sanctions on Monetize</v>
      </c>
      <c r="AE4" s="50" t="str">
        <f>Cards!E32</f>
        <v>Each Player must Deploy at least one Troop per card level or they will suffer sanctions on Donate</v>
      </c>
      <c r="AF4" s="50" t="str">
        <f>Cards!E33</f>
        <v>No Player may Deploy more than one Troop per card level or they will suffer sanctions on Donate</v>
      </c>
      <c r="AG4" s="52" t="str">
        <f t="shared" ref="AG4:BL4" si="5">A4</f>
        <v>The Royal Bank must have at least one Coin per card level or all Players suffer sanctions on Undermarket Actions</v>
      </c>
      <c r="AH4" s="50" t="str">
        <f t="shared" si="5"/>
        <v>The Royal Bank may not have more than one Coin per card level or all Players suffer sanctions on Undermarket Actions</v>
      </c>
      <c r="AI4" s="52" t="str">
        <f t="shared" si="5"/>
        <v>Change the boundary of an active Law</v>
      </c>
      <c r="AJ4" s="50" t="str">
        <f t="shared" si="5"/>
        <v>Change the boundary of an active Law</v>
      </c>
      <c r="AK4" s="52" t="str">
        <f t="shared" si="5"/>
        <v>Each Player must have at least 3 + card level Investments or they will suffer sanctions on Commission</v>
      </c>
      <c r="AL4" s="50" t="str">
        <f t="shared" si="5"/>
        <v>No Player may have more than 3 + card level Investments or they will suffer sanctions on Commission</v>
      </c>
      <c r="AM4" s="52" t="str">
        <f t="shared" si="5"/>
        <v>Change the boundary of an active Law</v>
      </c>
      <c r="AN4" s="50" t="str">
        <f t="shared" si="5"/>
        <v>Change the boundary of an active Law</v>
      </c>
      <c r="AO4" s="52" t="str">
        <f t="shared" si="5"/>
        <v>Each Player must Sue using a Leader with at least the card level this round or they will suffer sanctions on Deploy</v>
      </c>
      <c r="AP4" s="50" t="str">
        <f t="shared" si="5"/>
        <v>No Player may Sue using a Leader higher than the card level this round or they will suffer sanctions on Deploy</v>
      </c>
      <c r="AQ4" s="52" t="str">
        <f t="shared" si="5"/>
        <v>Each Player must have an Investment with at least the card level or they will suffer sanctions on Infiltrate</v>
      </c>
      <c r="AR4" s="50" t="str">
        <f t="shared" si="5"/>
        <v>No Player may have an Investment higher than the card level or they will suffer sanctions on Infiltrate</v>
      </c>
      <c r="AS4" s="52" t="str">
        <f t="shared" si="5"/>
        <v>Each Player must deploy at least one Troop per card level or they will suffer sanctions on Petition</v>
      </c>
      <c r="AT4" s="50" t="str">
        <f t="shared" si="5"/>
        <v>No Player may deploy more than one Troop per card level or they will suffer sanctions on Petition</v>
      </c>
      <c r="AU4" s="52" t="str">
        <f t="shared" si="5"/>
        <v>Each Player must have at least one sponsored Law per card level in the Edicts or in the Queue or they will suffer sanctions on Tax</v>
      </c>
      <c r="AV4" s="50" t="str">
        <f t="shared" si="5"/>
        <v>No Player may have more than one sponsored Law per card level in the Edicts or in the queue or they will suffer sanctions on Tax</v>
      </c>
      <c r="AW4" s="52" t="str">
        <f t="shared" si="5"/>
        <v>Each Player must have a Leader with at least the card level or they will suffer sanctions on Sue</v>
      </c>
      <c r="AX4" s="53" t="str">
        <f t="shared" si="5"/>
        <v>No Player may have a Leader higher than the card level or they will suffer sanctions on Sue</v>
      </c>
      <c r="AY4" s="50" t="str">
        <f t="shared" si="5"/>
        <v>Each Player must Collect at least one Commodity per card level this round or they will suffer sanctions on Recruit</v>
      </c>
      <c r="AZ4" s="52" t="str">
        <f t="shared" si="5"/>
        <v>No Player may Collect more than one Commodity per card level this round or they will suffer sanctions on Recruit</v>
      </c>
      <c r="BA4" s="50" t="str">
        <f t="shared" si="5"/>
        <v>Each Player must have at least 3 + card level Leaders or they will suffer sanctions on Build &amp; Upgrade</v>
      </c>
      <c r="BB4" s="52" t="str">
        <f t="shared" si="5"/>
        <v>No Player may have more than 3 + card level Leaders or they will suffer sanctions on Build &amp; Upgrade</v>
      </c>
      <c r="BC4" s="50" t="str">
        <f t="shared" si="5"/>
        <v>Each Player must have at least one Troop per card level or they will suffer sanctions on Collect</v>
      </c>
      <c r="BD4" s="52" t="str">
        <f t="shared" si="5"/>
        <v>No Player may have more than one Troop per card level or they will suffer sanctions on Collect</v>
      </c>
      <c r="BE4" s="50" t="str">
        <f t="shared" si="5"/>
        <v>At least one Player per card level must use Undermarket Actions or all Players suffer sanctions on Prioritize</v>
      </c>
      <c r="BF4" s="52" t="str">
        <f t="shared" si="5"/>
        <v>No more than one Player per card level may use Undermarket Actions or all Players suffer sanctions on Prioritize</v>
      </c>
      <c r="BG4" s="50" t="str">
        <f t="shared" si="5"/>
        <v>At least one Player per card level must use Court Actions or all Players suffer sanctions on Flatter</v>
      </c>
      <c r="BH4" s="53" t="str">
        <f t="shared" si="5"/>
        <v>No more than one Player per card level may use Court Actions or all Players suffer sanctions on Flatter</v>
      </c>
      <c r="BI4" s="50" t="str">
        <f t="shared" si="5"/>
        <v>Each Player must have at least one Card per card level of each type in hand or they will suffer sanctions on Monetize</v>
      </c>
      <c r="BJ4" s="52" t="str">
        <f t="shared" si="5"/>
        <v>No Player may have more than one Card per card level of each type in their hand or they will suffer sanctions on Monetize</v>
      </c>
      <c r="BK4" s="50" t="str">
        <f t="shared" si="5"/>
        <v>Each Player must Deploy at least one Troop per card level or they will suffer sanctions on Donate</v>
      </c>
      <c r="BL4" s="52" t="str">
        <f t="shared" si="5"/>
        <v>No Player may Deploy more than one Troop per card level or they will suffer sanctions on Donate</v>
      </c>
      <c r="BM4" s="50"/>
      <c r="BN4" s="70" t="str">
        <f t="shared" si="4"/>
        <v>Trade for up to one additional Coin  for each card level when Monetizing in the Court</v>
      </c>
      <c r="BO4" s="71" t="str">
        <f t="shared" si="4"/>
        <v>Draw one additional card for each card level from the top of any discard pile during Brainstorm</v>
      </c>
      <c r="BP4" s="70" t="str">
        <f t="shared" si="4"/>
        <v>Convert one additional Coin for each card level during Undermarket Donate</v>
      </c>
      <c r="BQ4" s="71" t="str">
        <f t="shared" si="4"/>
        <v>You may pay 7 - the card level Commodities to repeat Undermarket Actions</v>
      </c>
      <c r="BR4" s="50" t="str">
        <f t="shared" si="4"/>
        <v>Deploy one additional Troop for each card level during Deploy</v>
      </c>
      <c r="BS4" s="51"/>
      <c r="BU4" s="50"/>
      <c r="BW4" s="50"/>
      <c r="BY4" s="50"/>
      <c r="CA4" s="50"/>
    </row>
    <row r="5" spans="1:79" s="56" customFormat="1" ht="39.950000000000003" customHeight="1" x14ac:dyDescent="0.3">
      <c r="A5" s="54" t="str">
        <f>Cards!F2</f>
        <v>Fickle Mercenaries</v>
      </c>
      <c r="B5" s="55" t="str">
        <f>Cards!F3</f>
        <v>Blatant Extortion</v>
      </c>
      <c r="C5" s="56" t="str">
        <f>Cards!F4</f>
        <v>Double Agents</v>
      </c>
      <c r="D5" s="54" t="str">
        <f>Cards!F5</f>
        <v>Questionable Reallocation</v>
      </c>
      <c r="E5" s="56" t="str">
        <f>Cards!F6</f>
        <v>Corporate Espionage</v>
      </c>
      <c r="F5" s="54" t="str">
        <f>Cards!F7</f>
        <v>Localized Famine</v>
      </c>
      <c r="G5" s="56" t="str">
        <f>Cards!F8</f>
        <v>Highway Robbery</v>
      </c>
      <c r="H5" s="54" t="str">
        <f>Cards!F9</f>
        <v>Camp Plague</v>
      </c>
      <c r="I5" s="56" t="str">
        <f>Cards!F10</f>
        <v>Weakening Grip</v>
      </c>
      <c r="J5" s="54" t="str">
        <f>Cards!F11</f>
        <v>Culture Shift</v>
      </c>
      <c r="K5" s="56" t="str">
        <f>Cards!F12</f>
        <v>Corporate Takeover</v>
      </c>
      <c r="L5" s="54" t="str">
        <f>Cards!F13</f>
        <v>Sabotage</v>
      </c>
      <c r="M5" s="56" t="str">
        <f>Cards!F14</f>
        <v>Dangerous Monopolies</v>
      </c>
      <c r="N5" s="54" t="str">
        <f>Cards!F15</f>
        <v>Betrayal</v>
      </c>
      <c r="O5" s="56" t="str">
        <f>Cards!F16</f>
        <v>Assassination Attempt</v>
      </c>
      <c r="P5" s="54" t="str">
        <f>Cards!F17</f>
        <v>Humiliation</v>
      </c>
      <c r="Q5" s="56" t="str">
        <f>Cards!F18</f>
        <v>Invalid Paperwork</v>
      </c>
      <c r="R5" s="54" t="str">
        <f>Cards!F19</f>
        <v>Rallied Opposition</v>
      </c>
      <c r="S5" s="56" t="str">
        <f>Cards!F20</f>
        <v>Waning Support</v>
      </c>
      <c r="T5" s="54" t="str">
        <f>Cards!F21</f>
        <v>Misaligned Strategy</v>
      </c>
      <c r="U5" s="54" t="str">
        <f>Cards!F22</f>
        <v>Blackmail</v>
      </c>
      <c r="V5" s="54" t="str">
        <f t="shared" ref="V5:AE6" si="6">A5</f>
        <v>Fickle Mercenaries</v>
      </c>
      <c r="W5" s="56" t="str">
        <f t="shared" si="6"/>
        <v>Blatant Extortion</v>
      </c>
      <c r="X5" s="54" t="str">
        <f t="shared" si="6"/>
        <v>Double Agents</v>
      </c>
      <c r="Y5" s="56" t="str">
        <f t="shared" si="6"/>
        <v>Questionable Reallocation</v>
      </c>
      <c r="Z5" s="54" t="str">
        <f t="shared" si="6"/>
        <v>Corporate Espionage</v>
      </c>
      <c r="AA5" s="56" t="str">
        <f t="shared" si="6"/>
        <v>Localized Famine</v>
      </c>
      <c r="AB5" s="54" t="str">
        <f t="shared" si="6"/>
        <v>Highway Robbery</v>
      </c>
      <c r="AC5" s="56" t="str">
        <f t="shared" si="6"/>
        <v>Camp Plague</v>
      </c>
      <c r="AD5" s="57" t="str">
        <f t="shared" si="6"/>
        <v>Weakening Grip</v>
      </c>
      <c r="AE5" s="54" t="str">
        <f t="shared" si="6"/>
        <v>Culture Shift</v>
      </c>
      <c r="AF5" s="54" t="str">
        <f t="shared" ref="AF5:AO6" si="7">K5</f>
        <v>Corporate Takeover</v>
      </c>
      <c r="AG5" s="56" t="str">
        <f t="shared" si="7"/>
        <v>Sabotage</v>
      </c>
      <c r="AH5" s="54" t="str">
        <f t="shared" si="7"/>
        <v>Dangerous Monopolies</v>
      </c>
      <c r="AI5" s="56" t="str">
        <f t="shared" si="7"/>
        <v>Betrayal</v>
      </c>
      <c r="AJ5" s="54" t="str">
        <f t="shared" si="7"/>
        <v>Assassination Attempt</v>
      </c>
      <c r="AK5" s="56" t="str">
        <f t="shared" si="7"/>
        <v>Humiliation</v>
      </c>
      <c r="AL5" s="54" t="str">
        <f t="shared" si="7"/>
        <v>Invalid Paperwork</v>
      </c>
      <c r="AM5" s="56" t="str">
        <f t="shared" si="7"/>
        <v>Rallied Opposition</v>
      </c>
      <c r="AN5" s="54" t="str">
        <f t="shared" si="7"/>
        <v>Waning Support</v>
      </c>
      <c r="AO5" s="56" t="str">
        <f t="shared" si="7"/>
        <v>Misaligned Strategy</v>
      </c>
      <c r="AP5" s="54" t="str">
        <f t="shared" ref="AP5:AP6" si="8">U5</f>
        <v>Blackmail</v>
      </c>
      <c r="AQ5" s="56" t="str">
        <f t="shared" ref="AQ5:AZ6" si="9">A5</f>
        <v>Fickle Mercenaries</v>
      </c>
      <c r="AR5" s="54" t="str">
        <f t="shared" si="9"/>
        <v>Blatant Extortion</v>
      </c>
      <c r="AS5" s="56" t="str">
        <f t="shared" si="9"/>
        <v>Double Agents</v>
      </c>
      <c r="AT5" s="54" t="str">
        <f t="shared" si="9"/>
        <v>Questionable Reallocation</v>
      </c>
      <c r="AU5" s="56" t="str">
        <f t="shared" si="9"/>
        <v>Corporate Espionage</v>
      </c>
      <c r="AV5" s="54" t="str">
        <f t="shared" si="9"/>
        <v>Localized Famine</v>
      </c>
      <c r="AW5" s="56" t="str">
        <f t="shared" si="9"/>
        <v>Highway Robbery</v>
      </c>
      <c r="AX5" s="57" t="str">
        <f t="shared" si="9"/>
        <v>Camp Plague</v>
      </c>
      <c r="AY5" s="54" t="str">
        <f t="shared" si="9"/>
        <v>Weakening Grip</v>
      </c>
      <c r="AZ5" s="56" t="str">
        <f t="shared" si="9"/>
        <v>Culture Shift</v>
      </c>
      <c r="BA5" s="54" t="str">
        <f t="shared" ref="BA5:BJ6" si="10">K5</f>
        <v>Corporate Takeover</v>
      </c>
      <c r="BB5" s="56" t="str">
        <f t="shared" si="10"/>
        <v>Sabotage</v>
      </c>
      <c r="BC5" s="54" t="str">
        <f t="shared" si="10"/>
        <v>Dangerous Monopolies</v>
      </c>
      <c r="BD5" s="56" t="str">
        <f t="shared" si="10"/>
        <v>Betrayal</v>
      </c>
      <c r="BE5" s="54" t="str">
        <f t="shared" si="10"/>
        <v>Assassination Attempt</v>
      </c>
      <c r="BF5" s="56" t="str">
        <f t="shared" si="10"/>
        <v>Humiliation</v>
      </c>
      <c r="BG5" s="54" t="str">
        <f t="shared" si="10"/>
        <v>Invalid Paperwork</v>
      </c>
      <c r="BH5" s="54" t="str">
        <f t="shared" si="10"/>
        <v>Rallied Opposition</v>
      </c>
      <c r="BI5" s="54" t="str">
        <f t="shared" si="10"/>
        <v>Waning Support</v>
      </c>
      <c r="BJ5" s="56" t="str">
        <f t="shared" si="10"/>
        <v>Misaligned Strategy</v>
      </c>
      <c r="BK5" s="54" t="str">
        <f t="shared" ref="BK5:BK6" si="11">U5</f>
        <v>Blackmail</v>
      </c>
      <c r="BM5" s="45" t="str">
        <f t="shared" ref="BM5:BQ6" si="12">AE1</f>
        <v>Codependent Relationship</v>
      </c>
      <c r="BN5" s="47" t="str">
        <f t="shared" si="12"/>
        <v>Dangerous Promises</v>
      </c>
      <c r="BO5" s="45" t="str">
        <f t="shared" si="12"/>
        <v>Large Middle Class</v>
      </c>
      <c r="BP5" s="47" t="str">
        <f t="shared" si="12"/>
        <v>Innovation Hub</v>
      </c>
      <c r="BQ5" s="45" t="str">
        <f t="shared" si="12"/>
        <v>Fire Temple</v>
      </c>
      <c r="BR5" s="54"/>
      <c r="BS5" s="55"/>
      <c r="BU5" s="54"/>
      <c r="BW5" s="54"/>
      <c r="BY5" s="54"/>
      <c r="CA5" s="54"/>
    </row>
    <row r="6" spans="1:79" s="52" customFormat="1" ht="69" thickBot="1" x14ac:dyDescent="0.25">
      <c r="A6" s="50" t="e">
        <f>Cards!#REF!</f>
        <v>#REF!</v>
      </c>
      <c r="B6" s="51" t="e">
        <f>Cards!#REF!</f>
        <v>#REF!</v>
      </c>
      <c r="C6" s="52" t="e">
        <f>Cards!#REF!</f>
        <v>#REF!</v>
      </c>
      <c r="D6" s="50" t="e">
        <f>Cards!#REF!</f>
        <v>#REF!</v>
      </c>
      <c r="E6" s="52" t="e">
        <f>Cards!#REF!</f>
        <v>#REF!</v>
      </c>
      <c r="F6" s="50" t="e">
        <f>Cards!#REF!</f>
        <v>#REF!</v>
      </c>
      <c r="G6" s="52" t="e">
        <f>Cards!#REF!</f>
        <v>#REF!</v>
      </c>
      <c r="H6" s="50" t="e">
        <f>Cards!#REF!</f>
        <v>#REF!</v>
      </c>
      <c r="I6" s="52" t="e">
        <f>Cards!#REF!</f>
        <v>#REF!</v>
      </c>
      <c r="J6" s="50" t="e">
        <f>Cards!#REF!</f>
        <v>#REF!</v>
      </c>
      <c r="K6" s="52" t="e">
        <f>Cards!#REF!</f>
        <v>#REF!</v>
      </c>
      <c r="L6" s="50" t="e">
        <f>Cards!#REF!</f>
        <v>#REF!</v>
      </c>
      <c r="M6" s="52" t="e">
        <f>Cards!#REF!</f>
        <v>#REF!</v>
      </c>
      <c r="N6" s="50" t="e">
        <f>Cards!#REF!</f>
        <v>#REF!</v>
      </c>
      <c r="O6" s="52" t="e">
        <f>Cards!#REF!</f>
        <v>#REF!</v>
      </c>
      <c r="P6" s="50" t="e">
        <f>Cards!#REF!</f>
        <v>#REF!</v>
      </c>
      <c r="Q6" s="52" t="e">
        <f>Cards!#REF!</f>
        <v>#REF!</v>
      </c>
      <c r="R6" s="50" t="e">
        <f>Cards!#REF!</f>
        <v>#REF!</v>
      </c>
      <c r="S6" s="52" t="e">
        <f>Cards!#REF!</f>
        <v>#REF!</v>
      </c>
      <c r="T6" s="50" t="e">
        <f>Cards!#REF!</f>
        <v>#REF!</v>
      </c>
      <c r="U6" s="50" t="e">
        <f>Cards!#REF!</f>
        <v>#REF!</v>
      </c>
      <c r="V6" s="50" t="e">
        <f t="shared" si="6"/>
        <v>#REF!</v>
      </c>
      <c r="W6" s="52" t="e">
        <f t="shared" si="6"/>
        <v>#REF!</v>
      </c>
      <c r="X6" s="50" t="e">
        <f t="shared" si="6"/>
        <v>#REF!</v>
      </c>
      <c r="Y6" s="52" t="e">
        <f t="shared" si="6"/>
        <v>#REF!</v>
      </c>
      <c r="Z6" s="50" t="e">
        <f t="shared" si="6"/>
        <v>#REF!</v>
      </c>
      <c r="AA6" s="52" t="e">
        <f t="shared" si="6"/>
        <v>#REF!</v>
      </c>
      <c r="AB6" s="50" t="e">
        <f t="shared" si="6"/>
        <v>#REF!</v>
      </c>
      <c r="AC6" s="52" t="e">
        <f t="shared" si="6"/>
        <v>#REF!</v>
      </c>
      <c r="AD6" s="53" t="e">
        <f t="shared" si="6"/>
        <v>#REF!</v>
      </c>
      <c r="AE6" s="50" t="e">
        <f t="shared" si="6"/>
        <v>#REF!</v>
      </c>
      <c r="AF6" s="50" t="e">
        <f t="shared" si="7"/>
        <v>#REF!</v>
      </c>
      <c r="AG6" s="52" t="e">
        <f t="shared" si="7"/>
        <v>#REF!</v>
      </c>
      <c r="AH6" s="50" t="e">
        <f t="shared" si="7"/>
        <v>#REF!</v>
      </c>
      <c r="AI6" s="52" t="e">
        <f t="shared" si="7"/>
        <v>#REF!</v>
      </c>
      <c r="AJ6" s="50" t="e">
        <f t="shared" si="7"/>
        <v>#REF!</v>
      </c>
      <c r="AK6" s="52" t="e">
        <f t="shared" si="7"/>
        <v>#REF!</v>
      </c>
      <c r="AL6" s="50" t="e">
        <f t="shared" si="7"/>
        <v>#REF!</v>
      </c>
      <c r="AM6" s="52" t="e">
        <f t="shared" si="7"/>
        <v>#REF!</v>
      </c>
      <c r="AN6" s="50" t="e">
        <f t="shared" si="7"/>
        <v>#REF!</v>
      </c>
      <c r="AO6" s="52" t="e">
        <f t="shared" si="7"/>
        <v>#REF!</v>
      </c>
      <c r="AP6" s="50" t="e">
        <f t="shared" si="8"/>
        <v>#REF!</v>
      </c>
      <c r="AQ6" s="52" t="e">
        <f t="shared" si="9"/>
        <v>#REF!</v>
      </c>
      <c r="AR6" s="50" t="e">
        <f t="shared" si="9"/>
        <v>#REF!</v>
      </c>
      <c r="AS6" s="52" t="e">
        <f t="shared" si="9"/>
        <v>#REF!</v>
      </c>
      <c r="AT6" s="50" t="e">
        <f t="shared" si="9"/>
        <v>#REF!</v>
      </c>
      <c r="AU6" s="52" t="e">
        <f t="shared" si="9"/>
        <v>#REF!</v>
      </c>
      <c r="AV6" s="50" t="e">
        <f t="shared" si="9"/>
        <v>#REF!</v>
      </c>
      <c r="AW6" s="52" t="e">
        <f t="shared" si="9"/>
        <v>#REF!</v>
      </c>
      <c r="AX6" s="53" t="e">
        <f t="shared" si="9"/>
        <v>#REF!</v>
      </c>
      <c r="AY6" s="50" t="e">
        <f t="shared" si="9"/>
        <v>#REF!</v>
      </c>
      <c r="AZ6" s="52" t="e">
        <f t="shared" si="9"/>
        <v>#REF!</v>
      </c>
      <c r="BA6" s="50" t="e">
        <f t="shared" si="10"/>
        <v>#REF!</v>
      </c>
      <c r="BB6" s="52" t="e">
        <f t="shared" si="10"/>
        <v>#REF!</v>
      </c>
      <c r="BC6" s="50" t="e">
        <f t="shared" si="10"/>
        <v>#REF!</v>
      </c>
      <c r="BD6" s="52" t="e">
        <f t="shared" si="10"/>
        <v>#REF!</v>
      </c>
      <c r="BE6" s="50" t="e">
        <f t="shared" si="10"/>
        <v>#REF!</v>
      </c>
      <c r="BF6" s="52" t="e">
        <f t="shared" si="10"/>
        <v>#REF!</v>
      </c>
      <c r="BG6" s="50" t="e">
        <f t="shared" si="10"/>
        <v>#REF!</v>
      </c>
      <c r="BH6" s="50" t="e">
        <f t="shared" si="10"/>
        <v>#REF!</v>
      </c>
      <c r="BI6" s="50" t="e">
        <f t="shared" si="10"/>
        <v>#REF!</v>
      </c>
      <c r="BJ6" s="52" t="e">
        <f t="shared" si="10"/>
        <v>#REF!</v>
      </c>
      <c r="BK6" s="50" t="e">
        <f t="shared" si="11"/>
        <v>#REF!</v>
      </c>
      <c r="BM6" s="50" t="str">
        <f t="shared" si="12"/>
        <v>Trade up to one additional Coin for each card level when Buying from the Undermarket</v>
      </c>
      <c r="BN6" s="52" t="str">
        <f t="shared" si="12"/>
        <v>Trade for up to one additional Coin for each card level when Selling to the Undermarket</v>
      </c>
      <c r="BO6" s="50" t="str">
        <f t="shared" si="12"/>
        <v>Trade for up to one additional Coin for each card level when Monetizing in the Undermarket</v>
      </c>
      <c r="BP6" s="52" t="str">
        <f t="shared" si="12"/>
        <v>Provides private Monetize Action at Market Rate + card level</v>
      </c>
      <c r="BQ6" s="50" t="str">
        <f t="shared" si="12"/>
        <v>Spend one fewer Card for each card level per Coin when Monetizing in the Court</v>
      </c>
      <c r="BR6" s="50"/>
      <c r="BS6" s="51"/>
      <c r="BU6" s="50"/>
      <c r="BW6" s="50"/>
      <c r="BY6" s="50"/>
      <c r="CA6" s="50"/>
    </row>
  </sheetData>
  <pageMargins left="0.25" right="0.25" top="0.75" bottom="0.75" header="0.3" footer="0.3"/>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A35E-BFC3-134A-A064-89D65A8B31CF}">
  <dimension ref="A1:F21"/>
  <sheetViews>
    <sheetView zoomScaleNormal="60" zoomScaleSheetLayoutView="100" workbookViewId="0">
      <selection activeCell="E14" sqref="E14"/>
    </sheetView>
  </sheetViews>
  <sheetFormatPr defaultRowHeight="15" x14ac:dyDescent="0.2"/>
  <cols>
    <col min="1" max="1" width="19.50390625" bestFit="1" customWidth="1"/>
    <col min="3" max="3" width="12.10546875" bestFit="1" customWidth="1"/>
    <col min="4" max="4" width="8.875" bestFit="1" customWidth="1"/>
    <col min="5" max="5" width="13.85546875" bestFit="1" customWidth="1"/>
    <col min="6" max="6" width="10.22265625" bestFit="1" customWidth="1"/>
  </cols>
  <sheetData>
    <row r="1" spans="1:6" x14ac:dyDescent="0.2">
      <c r="B1" t="s">
        <v>180</v>
      </c>
      <c r="C1" t="s">
        <v>181</v>
      </c>
      <c r="D1" t="s">
        <v>182</v>
      </c>
      <c r="E1" t="s">
        <v>183</v>
      </c>
      <c r="F1" t="s">
        <v>184</v>
      </c>
    </row>
    <row r="2" spans="1:6" x14ac:dyDescent="0.2">
      <c r="A2" t="s">
        <v>161</v>
      </c>
      <c r="B2">
        <f>30*2</f>
        <v>60</v>
      </c>
      <c r="C2" t="s">
        <v>185</v>
      </c>
      <c r="D2">
        <v>27.7</v>
      </c>
    </row>
    <row r="3" spans="1:6" x14ac:dyDescent="0.2">
      <c r="A3" t="s">
        <v>162</v>
      </c>
      <c r="B3">
        <f>34*2</f>
        <v>68</v>
      </c>
      <c r="C3" t="s">
        <v>185</v>
      </c>
      <c r="D3">
        <v>27.7</v>
      </c>
    </row>
    <row r="4" spans="1:6" x14ac:dyDescent="0.2">
      <c r="A4" t="s">
        <v>163</v>
      </c>
      <c r="B4">
        <f>18*3</f>
        <v>54</v>
      </c>
      <c r="C4" t="s">
        <v>185</v>
      </c>
      <c r="D4">
        <v>30.75</v>
      </c>
    </row>
    <row r="5" spans="1:6" x14ac:dyDescent="0.2">
      <c r="A5" t="s">
        <v>164</v>
      </c>
      <c r="B5">
        <f>2*6+6*6</f>
        <v>48</v>
      </c>
      <c r="C5" t="s">
        <v>336</v>
      </c>
    </row>
    <row r="6" spans="1:6" x14ac:dyDescent="0.2">
      <c r="A6" t="s">
        <v>176</v>
      </c>
      <c r="B6">
        <f>1*6+10*6</f>
        <v>66</v>
      </c>
      <c r="C6" t="s">
        <v>189</v>
      </c>
      <c r="E6" t="s">
        <v>186</v>
      </c>
    </row>
    <row r="7" spans="1:6" x14ac:dyDescent="0.2">
      <c r="A7" t="s">
        <v>165</v>
      </c>
      <c r="B7">
        <f>10*6+10</f>
        <v>70</v>
      </c>
      <c r="C7" t="s">
        <v>189</v>
      </c>
      <c r="E7" t="s">
        <v>337</v>
      </c>
    </row>
    <row r="8" spans="1:6" x14ac:dyDescent="0.2">
      <c r="A8" t="s">
        <v>166</v>
      </c>
      <c r="B8">
        <f>2*8*6</f>
        <v>96</v>
      </c>
      <c r="C8" t="s">
        <v>189</v>
      </c>
      <c r="E8" t="s">
        <v>337</v>
      </c>
    </row>
    <row r="9" spans="1:6" x14ac:dyDescent="0.2">
      <c r="A9" t="s">
        <v>167</v>
      </c>
      <c r="B9">
        <f>5*6</f>
        <v>30</v>
      </c>
      <c r="C9" t="s">
        <v>189</v>
      </c>
      <c r="E9" t="s">
        <v>337</v>
      </c>
    </row>
    <row r="10" spans="1:6" x14ac:dyDescent="0.2">
      <c r="A10" t="s">
        <v>168</v>
      </c>
      <c r="B10">
        <f>5*6</f>
        <v>30</v>
      </c>
      <c r="C10" t="s">
        <v>189</v>
      </c>
      <c r="E10" t="s">
        <v>186</v>
      </c>
    </row>
    <row r="11" spans="1:6" x14ac:dyDescent="0.2">
      <c r="A11" t="s">
        <v>169</v>
      </c>
      <c r="B11">
        <f>(30*6-B10)/5</f>
        <v>30</v>
      </c>
      <c r="C11" t="s">
        <v>189</v>
      </c>
      <c r="E11" t="s">
        <v>186</v>
      </c>
    </row>
    <row r="12" spans="1:6" x14ac:dyDescent="0.2">
      <c r="A12" t="s">
        <v>170</v>
      </c>
      <c r="B12">
        <f>5*6</f>
        <v>30</v>
      </c>
      <c r="C12" t="s">
        <v>189</v>
      </c>
      <c r="E12" t="s">
        <v>187</v>
      </c>
    </row>
    <row r="13" spans="1:6" x14ac:dyDescent="0.2">
      <c r="A13" t="s">
        <v>171</v>
      </c>
      <c r="B13">
        <f>(15*6-B12)/5</f>
        <v>12</v>
      </c>
      <c r="C13" t="s">
        <v>189</v>
      </c>
      <c r="E13" t="s">
        <v>187</v>
      </c>
    </row>
    <row r="14" spans="1:6" x14ac:dyDescent="0.2">
      <c r="A14" t="s">
        <v>172</v>
      </c>
      <c r="B14">
        <v>1</v>
      </c>
      <c r="C14" t="s">
        <v>188</v>
      </c>
    </row>
    <row r="15" spans="1:6" x14ac:dyDescent="0.2">
      <c r="A15" t="s">
        <v>173</v>
      </c>
      <c r="B15">
        <v>1</v>
      </c>
      <c r="C15" t="s">
        <v>188</v>
      </c>
    </row>
    <row r="16" spans="1:6" x14ac:dyDescent="0.2">
      <c r="A16" t="s">
        <v>174</v>
      </c>
      <c r="B16">
        <v>1</v>
      </c>
      <c r="C16" t="s">
        <v>188</v>
      </c>
    </row>
    <row r="17" spans="1:3" x14ac:dyDescent="0.2">
      <c r="A17" t="s">
        <v>175</v>
      </c>
      <c r="B17">
        <v>6</v>
      </c>
      <c r="C17" t="s">
        <v>185</v>
      </c>
    </row>
    <row r="18" spans="1:3" x14ac:dyDescent="0.2">
      <c r="A18" t="s">
        <v>179</v>
      </c>
      <c r="B18">
        <f>10*6</f>
        <v>60</v>
      </c>
      <c r="C18" t="s">
        <v>189</v>
      </c>
    </row>
    <row r="19" spans="1:3" x14ac:dyDescent="0.2">
      <c r="A19" t="s">
        <v>178</v>
      </c>
      <c r="B19">
        <f>5*7</f>
        <v>35</v>
      </c>
      <c r="C19" t="s">
        <v>189</v>
      </c>
    </row>
    <row r="20" spans="1:3" x14ac:dyDescent="0.2">
      <c r="A20" t="s">
        <v>177</v>
      </c>
      <c r="B20">
        <f>5*7</f>
        <v>35</v>
      </c>
      <c r="C20" t="s">
        <v>189</v>
      </c>
    </row>
    <row r="21" spans="1:3" x14ac:dyDescent="0.2">
      <c r="A21" t="s">
        <v>190</v>
      </c>
      <c r="B21">
        <v>6</v>
      </c>
      <c r="C21" t="s">
        <v>191</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C83F89-2724-CA43-A519-59213A612B31}">
  <dimension ref="A1:U55"/>
  <sheetViews>
    <sheetView topLeftCell="F1" zoomScaleNormal="60" zoomScaleSheetLayoutView="100" workbookViewId="0">
      <pane ySplit="1" topLeftCell="F2" activePane="bottomLeft" state="frozen"/>
      <selection activeCell="B1" sqref="B1"/>
      <selection pane="bottomLeft" activeCell="I13" sqref="I13"/>
    </sheetView>
  </sheetViews>
  <sheetFormatPr defaultRowHeight="15" x14ac:dyDescent="0.2"/>
  <cols>
    <col min="1" max="1" width="23.9453125" style="73" bestFit="1" customWidth="1"/>
    <col min="2" max="2" width="7.3984375" bestFit="1" customWidth="1"/>
    <col min="3" max="3" width="6.72265625" customWidth="1"/>
    <col min="4" max="4" width="8.33984375" bestFit="1" customWidth="1"/>
    <col min="5" max="5" width="16.27734375" bestFit="1" customWidth="1"/>
    <col min="6" max="6" width="12.5078125" bestFit="1" customWidth="1"/>
    <col min="7" max="7" width="11.97265625" bestFit="1" customWidth="1"/>
    <col min="8" max="9" width="11.43359375" style="75" bestFit="1" customWidth="1"/>
    <col min="10" max="10" width="10.22265625" style="75" bestFit="1" customWidth="1"/>
    <col min="11" max="11" width="11.43359375" style="75" bestFit="1" customWidth="1"/>
    <col min="12" max="19" width="11.8359375" style="75" bestFit="1" customWidth="1"/>
    <col min="20" max="20" width="12.9140625" style="75" bestFit="1" customWidth="1"/>
    <col min="21" max="21" width="12.5078125" bestFit="1" customWidth="1"/>
  </cols>
  <sheetData>
    <row r="1" spans="1:21" x14ac:dyDescent="0.2">
      <c r="A1" t="s">
        <v>239</v>
      </c>
      <c r="B1" t="s">
        <v>240</v>
      </c>
      <c r="C1" t="s">
        <v>241</v>
      </c>
      <c r="D1" t="s">
        <v>242</v>
      </c>
      <c r="E1" t="s">
        <v>243</v>
      </c>
      <c r="F1" t="s">
        <v>265</v>
      </c>
      <c r="G1" t="s">
        <v>264</v>
      </c>
      <c r="H1" t="s">
        <v>244</v>
      </c>
      <c r="I1" t="s">
        <v>245</v>
      </c>
      <c r="J1" s="75" t="s">
        <v>262</v>
      </c>
      <c r="K1" t="s">
        <v>246</v>
      </c>
      <c r="L1" t="s">
        <v>247</v>
      </c>
      <c r="M1" t="s">
        <v>248</v>
      </c>
      <c r="N1" t="s">
        <v>249</v>
      </c>
      <c r="O1" t="s">
        <v>250</v>
      </c>
      <c r="P1" t="s">
        <v>251</v>
      </c>
      <c r="Q1" t="s">
        <v>252</v>
      </c>
      <c r="R1" t="s">
        <v>253</v>
      </c>
      <c r="S1" t="s">
        <v>254</v>
      </c>
      <c r="T1" t="s">
        <v>255</v>
      </c>
      <c r="U1" t="s">
        <v>263</v>
      </c>
    </row>
    <row r="2" spans="1:21" x14ac:dyDescent="0.2">
      <c r="A2" s="73">
        <v>46075</v>
      </c>
      <c r="B2">
        <v>6</v>
      </c>
      <c r="C2" s="74" t="b">
        <v>0</v>
      </c>
      <c r="D2" s="74" t="b">
        <v>0</v>
      </c>
      <c r="E2">
        <v>12</v>
      </c>
      <c r="F2">
        <v>17</v>
      </c>
      <c r="H2" s="75">
        <v>0.79166666666666663</v>
      </c>
      <c r="I2" s="75">
        <v>0.93055555555555558</v>
      </c>
      <c r="K2" s="75">
        <v>0.81458333333333333</v>
      </c>
      <c r="L2" s="75">
        <v>0.83125000000000004</v>
      </c>
      <c r="M2" s="75">
        <v>0.85486111111111107</v>
      </c>
      <c r="N2" s="75">
        <v>0.87777777777777777</v>
      </c>
      <c r="O2" s="75">
        <v>0.90069444444444446</v>
      </c>
      <c r="P2" s="75">
        <v>0.92638888888888893</v>
      </c>
    </row>
    <row r="3" spans="1:21" x14ac:dyDescent="0.2">
      <c r="A3" s="73">
        <v>46089</v>
      </c>
      <c r="B3">
        <v>6</v>
      </c>
      <c r="C3" s="74" t="b">
        <v>0</v>
      </c>
      <c r="D3" s="74" t="b">
        <v>0</v>
      </c>
      <c r="E3">
        <v>12</v>
      </c>
      <c r="F3">
        <v>18</v>
      </c>
      <c r="G3">
        <v>1</v>
      </c>
      <c r="H3" s="75">
        <v>0.68541666666666667</v>
      </c>
      <c r="I3" s="75">
        <v>0.86527777777777781</v>
      </c>
      <c r="J3" s="75">
        <v>0.6958333333333333</v>
      </c>
      <c r="K3" s="75">
        <v>0.70763888888888893</v>
      </c>
      <c r="L3" s="75">
        <v>0.7270833333333333</v>
      </c>
      <c r="M3" s="75">
        <v>0.75069444444444444</v>
      </c>
      <c r="N3" s="75">
        <v>0.77500000000000002</v>
      </c>
      <c r="O3" s="75">
        <v>0.80347222222222225</v>
      </c>
      <c r="P3" s="75">
        <v>0.82986111111111116</v>
      </c>
      <c r="Q3" s="75">
        <v>0.86041666666666672</v>
      </c>
      <c r="U3" s="75">
        <v>0.86527777777777781</v>
      </c>
    </row>
    <row r="4" spans="1:21" x14ac:dyDescent="0.2">
      <c r="A4" s="73">
        <v>46105</v>
      </c>
      <c r="B4">
        <v>6</v>
      </c>
      <c r="C4" s="74" t="b">
        <v>0</v>
      </c>
      <c r="D4" s="74" t="b">
        <v>0</v>
      </c>
      <c r="E4">
        <v>12</v>
      </c>
      <c r="F4">
        <v>17</v>
      </c>
      <c r="G4">
        <v>10</v>
      </c>
      <c r="H4" s="75">
        <v>0.77500000000000002</v>
      </c>
      <c r="I4" s="75">
        <v>0.92777777777777781</v>
      </c>
      <c r="J4" s="75">
        <v>0.78472222222222221</v>
      </c>
      <c r="K4" s="75">
        <v>0.79236111111111107</v>
      </c>
      <c r="L4" s="75">
        <v>0.81111111111111112</v>
      </c>
      <c r="M4" s="75">
        <v>0.83194444444444449</v>
      </c>
      <c r="N4" s="75">
        <v>0.85277777777777775</v>
      </c>
      <c r="O4" s="75">
        <v>0.88263888888888886</v>
      </c>
      <c r="P4" s="75">
        <v>0.92083333333333328</v>
      </c>
      <c r="U4" s="75">
        <v>0.92777777777777781</v>
      </c>
    </row>
    <row r="5" spans="1:21" x14ac:dyDescent="0.2">
      <c r="A5" s="73">
        <v>46118</v>
      </c>
      <c r="B5">
        <v>6</v>
      </c>
      <c r="C5" s="74" t="b">
        <v>0</v>
      </c>
      <c r="D5" s="74" t="b">
        <v>0</v>
      </c>
      <c r="E5">
        <v>12</v>
      </c>
      <c r="F5">
        <v>20</v>
      </c>
      <c r="G5">
        <v>11</v>
      </c>
      <c r="H5" s="75">
        <v>0.78333333333333333</v>
      </c>
      <c r="I5" s="75">
        <v>0.9194444444444444</v>
      </c>
      <c r="J5" s="75">
        <v>0.7944444444444444</v>
      </c>
      <c r="K5" s="75">
        <v>0.8041666666666667</v>
      </c>
      <c r="L5" s="75">
        <v>0.82291666666666663</v>
      </c>
      <c r="M5" s="75">
        <v>0.84166666666666667</v>
      </c>
      <c r="N5" s="75">
        <v>0.8666666666666667</v>
      </c>
      <c r="O5" s="75">
        <v>0.88958333333333328</v>
      </c>
      <c r="P5" s="75">
        <v>0.91388888888888886</v>
      </c>
      <c r="U5" s="75">
        <v>0.9194444444444444</v>
      </c>
    </row>
    <row r="6" spans="1:21" x14ac:dyDescent="0.2">
      <c r="A6" s="73">
        <v>46124</v>
      </c>
      <c r="B6">
        <v>6</v>
      </c>
      <c r="C6" s="74" t="b">
        <v>0</v>
      </c>
      <c r="D6" s="74" t="b">
        <v>1</v>
      </c>
      <c r="E6">
        <v>5</v>
      </c>
      <c r="F6">
        <v>9</v>
      </c>
      <c r="G6">
        <v>5</v>
      </c>
      <c r="H6" s="75">
        <v>0.64097222222222228</v>
      </c>
      <c r="I6" s="75">
        <v>0.74583333333333335</v>
      </c>
      <c r="J6" s="75">
        <v>0.65833333333333333</v>
      </c>
      <c r="K6" s="75">
        <v>0.68611111111111112</v>
      </c>
      <c r="L6" s="75">
        <v>0.71250000000000002</v>
      </c>
      <c r="M6" s="75">
        <v>0.74027777777777781</v>
      </c>
      <c r="U6" s="75">
        <v>0.74583333333333335</v>
      </c>
    </row>
    <row r="7" spans="1:21" x14ac:dyDescent="0.2">
      <c r="A7" s="73">
        <v>46131</v>
      </c>
      <c r="B7">
        <v>6</v>
      </c>
      <c r="C7" s="74" t="b">
        <v>0</v>
      </c>
      <c r="D7" s="74" t="b">
        <v>0</v>
      </c>
      <c r="E7">
        <v>12</v>
      </c>
      <c r="F7">
        <v>22</v>
      </c>
      <c r="G7">
        <v>6</v>
      </c>
      <c r="H7" s="75">
        <v>0.54652777777777772</v>
      </c>
      <c r="I7" s="75">
        <v>0.70277777777777772</v>
      </c>
      <c r="J7" s="75">
        <v>0.55694444444444446</v>
      </c>
      <c r="K7" s="75">
        <v>0.57222222222222219</v>
      </c>
      <c r="L7" s="75">
        <v>0.59652777777777777</v>
      </c>
      <c r="M7" s="75">
        <v>0.61805555555555558</v>
      </c>
      <c r="N7" s="75">
        <v>0.64583333333333337</v>
      </c>
      <c r="O7" s="75">
        <v>0.67500000000000004</v>
      </c>
      <c r="P7" s="75">
        <v>0.69930555555555551</v>
      </c>
      <c r="U7" s="75">
        <v>0.70277777777777772</v>
      </c>
    </row>
    <row r="8" spans="1:21" x14ac:dyDescent="0.2">
      <c r="A8" s="73">
        <v>46138</v>
      </c>
      <c r="B8">
        <v>6</v>
      </c>
      <c r="C8" s="74" t="b">
        <v>0</v>
      </c>
      <c r="D8" s="74" t="b">
        <v>0</v>
      </c>
      <c r="E8">
        <v>8</v>
      </c>
      <c r="F8">
        <v>8</v>
      </c>
      <c r="G8">
        <v>3</v>
      </c>
      <c r="H8" s="75">
        <v>0.63888888888888884</v>
      </c>
      <c r="I8" s="75">
        <v>0.69513888888888886</v>
      </c>
      <c r="J8" s="75">
        <v>0.64444444444444449</v>
      </c>
      <c r="K8" s="75">
        <v>0.65416666666666667</v>
      </c>
      <c r="L8" s="75">
        <v>0.67013888888888884</v>
      </c>
      <c r="M8" s="75">
        <v>0.69166666666666665</v>
      </c>
      <c r="U8" s="75">
        <v>0.69513888888888886</v>
      </c>
    </row>
    <row r="9" spans="1:21" x14ac:dyDescent="0.2">
      <c r="A9" s="73">
        <v>46145</v>
      </c>
      <c r="B9">
        <v>6</v>
      </c>
      <c r="C9" s="74" t="b">
        <v>0</v>
      </c>
      <c r="D9" s="74" t="b">
        <v>0</v>
      </c>
      <c r="E9">
        <v>12</v>
      </c>
      <c r="F9">
        <v>30</v>
      </c>
      <c r="G9">
        <v>18</v>
      </c>
      <c r="H9" s="75">
        <v>0.60624999999999996</v>
      </c>
      <c r="I9" s="75">
        <v>0.71666666666666667</v>
      </c>
      <c r="J9" s="75">
        <v>0.61250000000000004</v>
      </c>
      <c r="K9" s="75">
        <v>0.62222222222222223</v>
      </c>
      <c r="L9" s="75">
        <v>0.64027777777777772</v>
      </c>
      <c r="M9" s="75">
        <v>0.65833333333333333</v>
      </c>
      <c r="N9" s="75">
        <v>0.6791666666666667</v>
      </c>
      <c r="O9" s="75">
        <v>0.69722222222222219</v>
      </c>
      <c r="P9" s="75">
        <v>0.71250000000000002</v>
      </c>
      <c r="U9" s="75">
        <v>0.71666666666666667</v>
      </c>
    </row>
    <row r="10" spans="1:21" x14ac:dyDescent="0.2">
      <c r="A10" s="73">
        <v>46152</v>
      </c>
      <c r="B10">
        <v>4</v>
      </c>
      <c r="C10" s="74" t="b">
        <v>0</v>
      </c>
      <c r="D10" s="74" t="b">
        <v>0</v>
      </c>
      <c r="E10">
        <v>12</v>
      </c>
      <c r="F10">
        <v>21</v>
      </c>
      <c r="G10">
        <v>0</v>
      </c>
      <c r="H10" s="75">
        <v>0.54791666666666672</v>
      </c>
      <c r="I10" s="75">
        <v>0.625</v>
      </c>
      <c r="J10" s="75">
        <v>0.55347222222222225</v>
      </c>
      <c r="K10" s="75">
        <v>0.56180555555555556</v>
      </c>
      <c r="L10" s="75">
        <v>0.57361111111111107</v>
      </c>
      <c r="M10" s="75">
        <v>0.58611111111111114</v>
      </c>
      <c r="N10" s="75">
        <v>0.60486111111111107</v>
      </c>
      <c r="O10" s="75">
        <v>0.61875000000000002</v>
      </c>
      <c r="U10" s="75">
        <v>0.625</v>
      </c>
    </row>
    <row r="11" spans="1:21" x14ac:dyDescent="0.2">
      <c r="A11" s="73">
        <v>46158</v>
      </c>
      <c r="B11">
        <v>5</v>
      </c>
      <c r="C11" s="74" t="b">
        <v>0</v>
      </c>
      <c r="D11" s="74" t="b">
        <v>0</v>
      </c>
      <c r="E11">
        <v>12</v>
      </c>
      <c r="F11">
        <v>24</v>
      </c>
      <c r="G11">
        <v>12</v>
      </c>
      <c r="H11" s="75">
        <v>0.84236111111111112</v>
      </c>
      <c r="I11" s="75">
        <v>0.99236111111111114</v>
      </c>
      <c r="J11" s="75">
        <v>0.85902777777777772</v>
      </c>
      <c r="K11" s="75">
        <v>0.87222222222222223</v>
      </c>
      <c r="L11" s="75">
        <v>0.88958333333333328</v>
      </c>
      <c r="M11" s="75">
        <v>0.90625</v>
      </c>
      <c r="N11" s="75">
        <v>0.92708333333333337</v>
      </c>
      <c r="O11" s="75">
        <v>0.95833333333333337</v>
      </c>
      <c r="P11" s="75">
        <v>0.98888888888888893</v>
      </c>
      <c r="U11" s="75">
        <v>0.99236111111111114</v>
      </c>
    </row>
    <row r="12" spans="1:21" x14ac:dyDescent="0.2">
      <c r="A12" s="73">
        <v>46215</v>
      </c>
      <c r="B12">
        <v>4</v>
      </c>
      <c r="C12" s="74" t="b">
        <v>0</v>
      </c>
      <c r="D12" s="74" t="b">
        <v>0</v>
      </c>
      <c r="E12">
        <v>16</v>
      </c>
      <c r="F12">
        <v>22</v>
      </c>
      <c r="G12">
        <v>16</v>
      </c>
      <c r="H12" s="75">
        <v>0.56944444444444442</v>
      </c>
      <c r="I12" s="75">
        <v>0.73888888888888893</v>
      </c>
      <c r="J12" s="75">
        <v>0.57638888888888884</v>
      </c>
      <c r="K12" s="75">
        <v>0.58333333333333337</v>
      </c>
      <c r="L12" s="75">
        <v>0.59583333333333333</v>
      </c>
      <c r="M12" s="75">
        <v>0.625</v>
      </c>
      <c r="N12" s="75">
        <v>0.6381944444444444</v>
      </c>
      <c r="O12" s="75">
        <v>0.66041666666666665</v>
      </c>
      <c r="P12" s="75">
        <v>0.68402777777777779</v>
      </c>
      <c r="Q12" s="75">
        <v>0.70694444444444449</v>
      </c>
      <c r="R12" s="75">
        <v>0.73402777777777772</v>
      </c>
      <c r="U12" s="75">
        <v>0.73888888888888893</v>
      </c>
    </row>
    <row r="13" spans="1:21" x14ac:dyDescent="0.2">
      <c r="A13" s="73">
        <v>46247</v>
      </c>
      <c r="B13">
        <v>6</v>
      </c>
      <c r="C13" s="74" t="b">
        <v>0</v>
      </c>
      <c r="D13" s="74" t="b">
        <v>0</v>
      </c>
      <c r="E13">
        <v>12</v>
      </c>
      <c r="F13">
        <v>21</v>
      </c>
      <c r="G13">
        <v>7</v>
      </c>
      <c r="H13" s="75">
        <v>0.79097222222222219</v>
      </c>
      <c r="I13" s="75">
        <v>0.9458333333333333</v>
      </c>
      <c r="J13" s="75">
        <v>0.8</v>
      </c>
      <c r="K13" s="75">
        <v>0.81041666666666667</v>
      </c>
      <c r="L13" s="75">
        <v>0.82777777777777772</v>
      </c>
      <c r="M13" s="75">
        <v>0.84722222222222221</v>
      </c>
      <c r="N13" s="75">
        <v>0.87569444444444444</v>
      </c>
      <c r="O13" s="75">
        <v>0.90277777777777779</v>
      </c>
      <c r="P13" s="75">
        <v>0.93541666666666667</v>
      </c>
      <c r="U13" s="75">
        <v>0.9458333333333333</v>
      </c>
    </row>
    <row r="14" spans="1:21" x14ac:dyDescent="0.2">
      <c r="C14" s="74" t="b">
        <v>0</v>
      </c>
      <c r="D14" s="74" t="b">
        <v>0</v>
      </c>
    </row>
    <row r="15" spans="1:21" x14ac:dyDescent="0.2">
      <c r="C15" s="74" t="b">
        <v>0</v>
      </c>
      <c r="D15" s="74" t="b">
        <v>0</v>
      </c>
    </row>
    <row r="16" spans="1:21" x14ac:dyDescent="0.2">
      <c r="C16" s="74" t="b">
        <v>0</v>
      </c>
      <c r="D16" s="74" t="b">
        <v>0</v>
      </c>
    </row>
    <row r="17" spans="3:4" x14ac:dyDescent="0.2">
      <c r="C17" s="74" t="b">
        <v>0</v>
      </c>
      <c r="D17" s="74" t="b">
        <v>0</v>
      </c>
    </row>
    <row r="18" spans="3:4" x14ac:dyDescent="0.2">
      <c r="C18" s="74" t="b">
        <v>0</v>
      </c>
      <c r="D18" s="74" t="b">
        <v>0</v>
      </c>
    </row>
    <row r="19" spans="3:4" x14ac:dyDescent="0.2">
      <c r="C19" s="74" t="b">
        <v>0</v>
      </c>
      <c r="D19" s="74" t="b">
        <v>0</v>
      </c>
    </row>
    <row r="20" spans="3:4" x14ac:dyDescent="0.2">
      <c r="C20" s="74" t="b">
        <v>0</v>
      </c>
      <c r="D20" s="74" t="b">
        <v>0</v>
      </c>
    </row>
    <row r="21" spans="3:4" x14ac:dyDescent="0.2">
      <c r="C21" s="74" t="b">
        <v>0</v>
      </c>
      <c r="D21" s="74" t="b">
        <v>0</v>
      </c>
    </row>
    <row r="22" spans="3:4" x14ac:dyDescent="0.2">
      <c r="C22" s="74" t="b">
        <v>0</v>
      </c>
      <c r="D22" s="74" t="b">
        <v>0</v>
      </c>
    </row>
    <row r="23" spans="3:4" x14ac:dyDescent="0.2">
      <c r="C23" s="74" t="b">
        <v>0</v>
      </c>
      <c r="D23" s="74" t="b">
        <v>0</v>
      </c>
    </row>
    <row r="24" spans="3:4" x14ac:dyDescent="0.2">
      <c r="C24" s="74" t="b">
        <v>0</v>
      </c>
      <c r="D24" s="74" t="b">
        <v>0</v>
      </c>
    </row>
    <row r="25" spans="3:4" x14ac:dyDescent="0.2">
      <c r="C25" s="74" t="b">
        <v>0</v>
      </c>
      <c r="D25" s="74" t="b">
        <v>0</v>
      </c>
    </row>
    <row r="26" spans="3:4" x14ac:dyDescent="0.2">
      <c r="C26" s="74" t="b">
        <v>0</v>
      </c>
      <c r="D26" s="74" t="b">
        <v>0</v>
      </c>
    </row>
    <row r="27" spans="3:4" x14ac:dyDescent="0.2">
      <c r="C27" s="74" t="b">
        <v>0</v>
      </c>
      <c r="D27" s="74" t="b">
        <v>0</v>
      </c>
    </row>
    <row r="28" spans="3:4" x14ac:dyDescent="0.2">
      <c r="C28" s="74" t="b">
        <v>0</v>
      </c>
      <c r="D28" s="74" t="b">
        <v>0</v>
      </c>
    </row>
    <row r="29" spans="3:4" x14ac:dyDescent="0.2">
      <c r="C29" s="74" t="b">
        <v>0</v>
      </c>
      <c r="D29" s="74" t="b">
        <v>0</v>
      </c>
    </row>
    <row r="30" spans="3:4" x14ac:dyDescent="0.2">
      <c r="C30" s="74" t="b">
        <v>0</v>
      </c>
      <c r="D30" s="74" t="b">
        <v>0</v>
      </c>
    </row>
    <row r="31" spans="3:4" x14ac:dyDescent="0.2">
      <c r="C31" s="74" t="b">
        <v>0</v>
      </c>
      <c r="D31" s="74" t="b">
        <v>0</v>
      </c>
    </row>
    <row r="32" spans="3:4" x14ac:dyDescent="0.2">
      <c r="C32" s="74" t="b">
        <v>0</v>
      </c>
      <c r="D32" s="74" t="b">
        <v>0</v>
      </c>
    </row>
    <row r="33" spans="3:4" x14ac:dyDescent="0.2">
      <c r="C33" s="74" t="b">
        <v>0</v>
      </c>
      <c r="D33" s="74" t="b">
        <v>0</v>
      </c>
    </row>
    <row r="34" spans="3:4" x14ac:dyDescent="0.2">
      <c r="C34" s="74" t="b">
        <v>0</v>
      </c>
      <c r="D34" s="74" t="b">
        <v>0</v>
      </c>
    </row>
    <row r="35" spans="3:4" x14ac:dyDescent="0.2">
      <c r="C35" s="74" t="b">
        <v>0</v>
      </c>
      <c r="D35" s="74" t="b">
        <v>0</v>
      </c>
    </row>
    <row r="36" spans="3:4" x14ac:dyDescent="0.2">
      <c r="C36" s="74" t="b">
        <v>0</v>
      </c>
      <c r="D36" s="74" t="b">
        <v>0</v>
      </c>
    </row>
    <row r="37" spans="3:4" x14ac:dyDescent="0.2">
      <c r="C37" s="74" t="b">
        <v>0</v>
      </c>
      <c r="D37" s="74" t="b">
        <v>0</v>
      </c>
    </row>
    <row r="38" spans="3:4" x14ac:dyDescent="0.2">
      <c r="C38" s="74" t="b">
        <v>0</v>
      </c>
      <c r="D38" s="74" t="b">
        <v>0</v>
      </c>
    </row>
    <row r="39" spans="3:4" x14ac:dyDescent="0.2">
      <c r="C39" s="74" t="b">
        <v>0</v>
      </c>
      <c r="D39" s="74" t="b">
        <v>0</v>
      </c>
    </row>
    <row r="40" spans="3:4" x14ac:dyDescent="0.2">
      <c r="C40" s="74" t="b">
        <v>0</v>
      </c>
      <c r="D40" s="74" t="b">
        <v>0</v>
      </c>
    </row>
    <row r="41" spans="3:4" x14ac:dyDescent="0.2">
      <c r="C41" s="74" t="b">
        <v>0</v>
      </c>
      <c r="D41" s="74" t="b">
        <v>0</v>
      </c>
    </row>
    <row r="42" spans="3:4" x14ac:dyDescent="0.2">
      <c r="C42" s="74" t="b">
        <v>0</v>
      </c>
      <c r="D42" s="74" t="b">
        <v>0</v>
      </c>
    </row>
    <row r="43" spans="3:4" x14ac:dyDescent="0.2">
      <c r="C43" s="74" t="b">
        <v>0</v>
      </c>
      <c r="D43" s="74" t="b">
        <v>0</v>
      </c>
    </row>
    <row r="44" spans="3:4" x14ac:dyDescent="0.2">
      <c r="C44" s="74" t="b">
        <v>0</v>
      </c>
      <c r="D44" s="74" t="b">
        <v>0</v>
      </c>
    </row>
    <row r="45" spans="3:4" x14ac:dyDescent="0.2">
      <c r="C45" s="74" t="b">
        <v>0</v>
      </c>
      <c r="D45" s="74" t="b">
        <v>0</v>
      </c>
    </row>
    <row r="46" spans="3:4" x14ac:dyDescent="0.2">
      <c r="C46" s="74" t="b">
        <v>0</v>
      </c>
      <c r="D46" s="74" t="b">
        <v>0</v>
      </c>
    </row>
    <row r="47" spans="3:4" x14ac:dyDescent="0.2">
      <c r="C47" s="74" t="b">
        <v>0</v>
      </c>
      <c r="D47" s="74" t="b">
        <v>0</v>
      </c>
    </row>
    <row r="48" spans="3:4" x14ac:dyDescent="0.2">
      <c r="C48" s="74" t="b">
        <v>0</v>
      </c>
      <c r="D48" s="74" t="b">
        <v>0</v>
      </c>
    </row>
    <row r="49" spans="3:4" x14ac:dyDescent="0.2">
      <c r="C49" s="74" t="b">
        <v>0</v>
      </c>
      <c r="D49" s="74" t="b">
        <v>0</v>
      </c>
    </row>
    <row r="50" spans="3:4" x14ac:dyDescent="0.2">
      <c r="C50" s="74" t="b">
        <v>0</v>
      </c>
      <c r="D50" s="74" t="b">
        <v>0</v>
      </c>
    </row>
    <row r="51" spans="3:4" x14ac:dyDescent="0.2">
      <c r="C51" s="74" t="b">
        <v>0</v>
      </c>
      <c r="D51" s="74" t="b">
        <v>0</v>
      </c>
    </row>
    <row r="52" spans="3:4" x14ac:dyDescent="0.2">
      <c r="C52" s="74" t="b">
        <v>0</v>
      </c>
      <c r="D52" s="74" t="b">
        <v>0</v>
      </c>
    </row>
    <row r="53" spans="3:4" x14ac:dyDescent="0.2">
      <c r="C53" s="74" t="b">
        <v>0</v>
      </c>
      <c r="D53" s="74" t="b">
        <v>0</v>
      </c>
    </row>
    <row r="54" spans="3:4" x14ac:dyDescent="0.2">
      <c r="C54" s="74" t="b">
        <v>0</v>
      </c>
      <c r="D54" s="74" t="b">
        <v>0</v>
      </c>
    </row>
    <row r="55" spans="3:4" x14ac:dyDescent="0.2">
      <c r="C55" s="74" t="b">
        <v>0</v>
      </c>
      <c r="D55" s="74" t="b">
        <v>0</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2" baseType="variant">
      <vt:variant>
        <vt:lpstr>Worksheets</vt:lpstr>
      </vt:variant>
      <vt:variant>
        <vt:i4>7</vt:i4>
      </vt:variant>
    </vt:vector>
  </HeadingPairs>
  <TitlesOfParts>
    <vt:vector size="7" baseType="lpstr">
      <vt:lpstr>Cards</vt:lpstr>
      <vt:lpstr>Info</vt:lpstr>
      <vt:lpstr>Training Setups</vt:lpstr>
      <vt:lpstr>Provincial and Undermarket</vt:lpstr>
      <vt:lpstr>Printable Cards</vt:lpstr>
      <vt:lpstr>Components</vt:lpstr>
      <vt:lpstr>Playtesting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Ben Donet</cp:lastModifiedBy>
  <cp:revision/>
  <cp:lastPrinted>2026-04-22T00:24:43Z</cp:lastPrinted>
  <dcterms:created xsi:type="dcterms:W3CDTF">2025-12-05T19:41:08Z</dcterms:created>
  <dcterms:modified xsi:type="dcterms:W3CDTF">2026-08-25T19:19:08Z</dcterms:modified>
  <cp:category/>
  <cp:contentStatus/>
</cp:coreProperties>
</file>