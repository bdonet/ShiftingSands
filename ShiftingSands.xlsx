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394" documentId="11_0B1D56BE9CDCCE836B02CE7A5FB0D4A9BBFD1C62" xr6:coauthVersionLast="47" xr6:coauthVersionMax="47" xr10:uidLastSave="{4BF81C7C-8420-4A84-91BD-B49F52503D96}"/>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 i="7" l="1"/>
  <c r="BA5" i="7"/>
  <c r="AB1" i="7"/>
  <c r="BB5" i="7"/>
  <c r="AC1" i="7"/>
  <c r="BC5" i="7"/>
  <c r="AD1" i="7"/>
  <c r="BD5" i="7"/>
  <c r="AE1" i="7"/>
  <c r="BE5" i="7"/>
  <c r="AF1" i="7"/>
  <c r="BF5" i="7"/>
  <c r="AG1" i="7"/>
  <c r="BG5" i="7"/>
  <c r="AH1" i="7"/>
  <c r="BH5" i="7"/>
  <c r="AI1" i="7"/>
  <c r="BI5" i="7"/>
  <c r="AA2" i="7"/>
  <c r="BA6" i="7"/>
  <c r="AB2" i="7"/>
  <c r="BB6" i="7"/>
  <c r="AC2" i="7"/>
  <c r="BC6" i="7"/>
  <c r="AD2" i="7"/>
  <c r="BD6" i="7"/>
  <c r="AE2" i="7"/>
  <c r="BE6" i="7"/>
  <c r="AF2" i="7"/>
  <c r="BF6" i="7"/>
  <c r="AG2" i="7"/>
  <c r="BG6" i="7"/>
  <c r="AH2" i="7"/>
  <c r="BH6" i="7"/>
  <c r="AI2" i="7"/>
  <c r="BI6" i="7"/>
  <c r="A1" i="7"/>
  <c r="AJ1" i="7"/>
  <c r="B1" i="7"/>
  <c r="AK1" i="7"/>
  <c r="C1" i="7"/>
  <c r="AL1" i="7"/>
  <c r="D1" i="7"/>
  <c r="AM1" i="7"/>
  <c r="E1" i="7"/>
  <c r="AN1" i="7"/>
  <c r="F1" i="7"/>
  <c r="AO1" i="7"/>
  <c r="G1" i="7"/>
  <c r="AP1" i="7"/>
  <c r="H1" i="7"/>
  <c r="AQ1" i="7"/>
  <c r="I1" i="7"/>
  <c r="AR1" i="7"/>
  <c r="J1" i="7"/>
  <c r="AS1" i="7"/>
  <c r="K1" i="7"/>
  <c r="AT1" i="7"/>
  <c r="L1" i="7"/>
  <c r="AU1" i="7" s="1"/>
  <c r="M1" i="7"/>
  <c r="AV1" i="7"/>
  <c r="N1" i="7"/>
  <c r="AW1" i="7"/>
  <c r="O1" i="7"/>
  <c r="AX1" i="7"/>
  <c r="P1" i="7"/>
  <c r="AY1" i="7"/>
  <c r="Q1" i="7"/>
  <c r="AZ1" i="7"/>
  <c r="R1" i="7"/>
  <c r="BA1" i="7"/>
  <c r="S1" i="7"/>
  <c r="BB1" i="7"/>
  <c r="T1" i="7"/>
  <c r="BC1" i="7"/>
  <c r="U1" i="7"/>
  <c r="BD1" i="7"/>
  <c r="V1" i="7"/>
  <c r="BE1" i="7"/>
  <c r="W1" i="7"/>
  <c r="BF1" i="7"/>
  <c r="X1" i="7"/>
  <c r="BG1" i="7"/>
  <c r="Y1" i="7"/>
  <c r="BH1" i="7"/>
  <c r="Z1" i="7"/>
  <c r="BI1" i="7"/>
  <c r="A2" i="7"/>
  <c r="AJ2" i="7"/>
  <c r="B2" i="7"/>
  <c r="AK2" i="7"/>
  <c r="C2" i="7"/>
  <c r="AL2" i="7"/>
  <c r="D2" i="7"/>
  <c r="AM2" i="7"/>
  <c r="E2" i="7"/>
  <c r="AN2" i="7"/>
  <c r="F2" i="7"/>
  <c r="AO2" i="7"/>
  <c r="G2" i="7"/>
  <c r="AP2" i="7"/>
  <c r="H2" i="7"/>
  <c r="AQ2" i="7"/>
  <c r="I2" i="7"/>
  <c r="AR2" i="7"/>
  <c r="J2" i="7"/>
  <c r="AS2" i="7"/>
  <c r="K2" i="7"/>
  <c r="AT2" i="7"/>
  <c r="L2" i="7"/>
  <c r="AU2" i="7"/>
  <c r="M2" i="7"/>
  <c r="AV2" i="7"/>
  <c r="N2" i="7"/>
  <c r="AW2" i="7"/>
  <c r="O2" i="7"/>
  <c r="AX2" i="7"/>
  <c r="P2" i="7"/>
  <c r="AY2" i="7"/>
  <c r="Q2" i="7"/>
  <c r="AZ2" i="7"/>
  <c r="R2" i="7"/>
  <c r="BA2" i="7"/>
  <c r="S2" i="7"/>
  <c r="BB2" i="7"/>
  <c r="T2" i="7"/>
  <c r="BC2" i="7"/>
  <c r="U2" i="7"/>
  <c r="BD2" i="7"/>
  <c r="V2" i="7"/>
  <c r="BE2" i="7"/>
  <c r="W2" i="7"/>
  <c r="BF2" i="7"/>
  <c r="X2" i="7"/>
  <c r="BG2" i="7"/>
  <c r="Y2" i="7"/>
  <c r="BH2" i="7"/>
  <c r="Z2" i="7"/>
  <c r="BI2" i="7"/>
  <c r="A6" i="7"/>
  <c r="AI6" i="7"/>
  <c r="B6" i="7"/>
  <c r="AJ6" i="7"/>
  <c r="C6" i="7"/>
  <c r="AK6" i="7"/>
  <c r="D6" i="7"/>
  <c r="AL6" i="7"/>
  <c r="E6" i="7"/>
  <c r="AM6" i="7"/>
  <c r="F6" i="7"/>
  <c r="AN6" i="7"/>
  <c r="G6" i="7"/>
  <c r="AO6" i="7"/>
  <c r="H6" i="7"/>
  <c r="AP6" i="7"/>
  <c r="I6" i="7"/>
  <c r="AQ6" i="7"/>
  <c r="J6" i="7"/>
  <c r="AR6" i="7"/>
  <c r="K6" i="7"/>
  <c r="AS6" i="7"/>
  <c r="L6" i="7"/>
  <c r="AT6" i="7"/>
  <c r="M6" i="7"/>
  <c r="AU6" i="7"/>
  <c r="N6" i="7"/>
  <c r="AV6" i="7"/>
  <c r="O6" i="7"/>
  <c r="AW6" i="7"/>
  <c r="P6" i="7"/>
  <c r="AX6" i="7"/>
  <c r="Q6" i="7"/>
  <c r="AY6" i="7"/>
  <c r="R6" i="7"/>
  <c r="S6" i="7"/>
  <c r="T6" i="7"/>
  <c r="U6" i="7"/>
  <c r="V6" i="7"/>
  <c r="W6" i="7"/>
  <c r="X6" i="7"/>
  <c r="Y6" i="7"/>
  <c r="Z6" i="7"/>
  <c r="AA6" i="7"/>
  <c r="AB6" i="7"/>
  <c r="AC6" i="7"/>
  <c r="AD6" i="7"/>
  <c r="AE6" i="7"/>
  <c r="AF6" i="7"/>
  <c r="AG6" i="7"/>
  <c r="AH6" i="7"/>
  <c r="A5" i="7"/>
  <c r="AI5" i="7"/>
  <c r="B5" i="7"/>
  <c r="AJ5" i="7"/>
  <c r="C5" i="7"/>
  <c r="AK5" i="7"/>
  <c r="D5" i="7"/>
  <c r="AL5" i="7"/>
  <c r="E5" i="7"/>
  <c r="AM5" i="7"/>
  <c r="F5" i="7"/>
  <c r="AN5" i="7"/>
  <c r="G5" i="7"/>
  <c r="AO5" i="7"/>
  <c r="H5" i="7"/>
  <c r="AP5" i="7"/>
  <c r="I5" i="7"/>
  <c r="AQ5" i="7"/>
  <c r="J5" i="7"/>
  <c r="AR5" i="7"/>
  <c r="K5" i="7"/>
  <c r="AS5" i="7"/>
  <c r="L5" i="7"/>
  <c r="AT5" i="7"/>
  <c r="M5" i="7"/>
  <c r="AU5" i="7"/>
  <c r="N5" i="7"/>
  <c r="AV5" i="7"/>
  <c r="O5" i="7"/>
  <c r="AW5" i="7"/>
  <c r="P5" i="7"/>
  <c r="AX5" i="7"/>
  <c r="Q5" i="7"/>
  <c r="AY5" i="7"/>
  <c r="R5" i="7"/>
  <c r="S5" i="7"/>
  <c r="T5" i="7"/>
  <c r="U5" i="7"/>
  <c r="V5" i="7"/>
  <c r="W5" i="7"/>
  <c r="X5" i="7"/>
  <c r="Y5" i="7"/>
  <c r="Z5" i="7"/>
  <c r="AA5" i="7"/>
  <c r="AB5" i="7"/>
  <c r="AC5" i="7"/>
  <c r="AD5" i="7"/>
  <c r="AE5" i="7"/>
  <c r="AF5" i="7"/>
  <c r="AG5" i="7"/>
  <c r="AH5" i="7"/>
  <c r="AD4" i="7"/>
  <c r="BH4" i="7"/>
  <c r="AC4" i="7"/>
  <c r="BG4" i="7"/>
  <c r="AB4" i="7"/>
  <c r="BF4" i="7"/>
  <c r="AA4" i="7"/>
  <c r="BE4" i="7"/>
  <c r="Z4" i="7"/>
  <c r="BD4" i="7" s="1"/>
  <c r="Y4" i="7"/>
  <c r="BC4" i="7" s="1"/>
  <c r="X4" i="7"/>
  <c r="BB4" i="7"/>
  <c r="W4" i="7"/>
  <c r="BA4" i="7"/>
  <c r="V4" i="7"/>
  <c r="AZ4" i="7"/>
  <c r="U4" i="7"/>
  <c r="AY4" i="7"/>
  <c r="T4" i="7"/>
  <c r="AX4" i="7"/>
  <c r="S4" i="7"/>
  <c r="AW4" i="7"/>
  <c r="P4" i="7"/>
  <c r="AT4" i="7"/>
  <c r="O4" i="7"/>
  <c r="AS4" i="7"/>
  <c r="N4" i="7"/>
  <c r="AR4" i="7"/>
  <c r="M4" i="7"/>
  <c r="AQ4" i="7"/>
  <c r="L4" i="7"/>
  <c r="AP4" i="7"/>
  <c r="K4" i="7"/>
  <c r="AO4" i="7"/>
  <c r="H4" i="7"/>
  <c r="AL4" i="7"/>
  <c r="G4" i="7"/>
  <c r="AK4" i="7"/>
  <c r="F4" i="7"/>
  <c r="AJ4" i="7"/>
  <c r="E4" i="7"/>
  <c r="AI4" i="7"/>
  <c r="D4" i="7"/>
  <c r="AH4" i="7"/>
  <c r="C4" i="7"/>
  <c r="AG4" i="7"/>
  <c r="B4" i="7"/>
  <c r="AF4" i="7"/>
  <c r="A4" i="7"/>
  <c r="AE4" i="7"/>
  <c r="A3" i="7"/>
  <c r="AE3" i="7"/>
  <c r="B3" i="7"/>
  <c r="AF3" i="7"/>
  <c r="C3" i="7"/>
  <c r="AG3" i="7"/>
  <c r="D3" i="7"/>
  <c r="AH3" i="7"/>
  <c r="E3" i="7"/>
  <c r="AI3" i="7"/>
  <c r="F3" i="7"/>
  <c r="AJ3" i="7"/>
  <c r="G3" i="7"/>
  <c r="AK3" i="7"/>
  <c r="H3" i="7"/>
  <c r="AL3" i="7"/>
  <c r="I3" i="7"/>
  <c r="AM3" i="7"/>
  <c r="J3" i="7"/>
  <c r="AN3" i="7"/>
  <c r="K3" i="7"/>
  <c r="AO3" i="7"/>
  <c r="L3" i="7"/>
  <c r="AP3" i="7"/>
  <c r="M3" i="7"/>
  <c r="AQ3" i="7"/>
  <c r="N3" i="7"/>
  <c r="AR3" i="7"/>
  <c r="O3" i="7"/>
  <c r="AS3" i="7"/>
  <c r="P3" i="7"/>
  <c r="AT3" i="7"/>
  <c r="Q3" i="7"/>
  <c r="AU3" i="7"/>
  <c r="R3" i="7"/>
  <c r="AV3" i="7"/>
  <c r="S3" i="7"/>
  <c r="AW3" i="7"/>
  <c r="T3" i="7"/>
  <c r="AX3" i="7"/>
  <c r="U3" i="7"/>
  <c r="AY3" i="7"/>
  <c r="V3" i="7"/>
  <c r="AZ3" i="7"/>
  <c r="W3" i="7"/>
  <c r="BA3" i="7"/>
  <c r="X3" i="7"/>
  <c r="BB3" i="7"/>
  <c r="Y3" i="7"/>
  <c r="BC3" i="7"/>
  <c r="Z3" i="7"/>
  <c r="BD3" i="7"/>
  <c r="AA3" i="7"/>
  <c r="BE3" i="7"/>
  <c r="AB3" i="7"/>
  <c r="BF3" i="7"/>
  <c r="AC3" i="7"/>
  <c r="BG3" i="7"/>
  <c r="AD3" i="7"/>
  <c r="BH3" i="7"/>
  <c r="B2" i="8"/>
  <c r="B4" i="8"/>
  <c r="B3" i="8"/>
  <c r="B20" i="8"/>
  <c r="B19" i="8"/>
  <c r="B18" i="8"/>
  <c r="B12" i="8"/>
  <c r="B13" i="8"/>
  <c r="B10" i="8"/>
  <c r="B11" i="8"/>
  <c r="B9" i="8"/>
  <c r="B8" i="8"/>
  <c r="B7" i="8"/>
  <c r="B6" i="8"/>
  <c r="B5" i="8"/>
  <c r="R4" i="7"/>
  <c r="AV4" i="7"/>
  <c r="Q4" i="7"/>
  <c r="AU4" i="7"/>
  <c r="J4" i="7"/>
  <c r="AN4" i="7"/>
  <c r="I4" i="7"/>
  <c r="AM4" i="7"/>
</calcChain>
</file>

<file path=xl/sharedStrings.xml><?xml version="1.0" encoding="utf-8"?>
<sst xmlns="http://schemas.openxmlformats.org/spreadsheetml/2006/main" count="766" uniqueCount="520">
  <si>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</si>
  <si>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</si>
  <si>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</si>
  <si>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</si>
  <si>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</si>
  <si>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</si>
  <si>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</si>
  <si>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</si>
  <si>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</si>
  <si>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</si>
  <si>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</si>
  <si>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</si>
  <si>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</si>
  <si>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Give $D6 Troops to Player $R</t>
  </si>
  <si>
    <t>2H</t>
  </si>
  <si>
    <t>Legal Research</t>
  </si>
  <si>
    <t xml:space="preserve">Decentralized Wealth </t>
  </si>
  <si>
    <t>The Royal Bank may not have more than $L6 Coins or all Players suffer sanctions on Undermarket Actions</t>
  </si>
  <si>
    <t>Blatant Thievery</t>
  </si>
  <si>
    <t>Give $D6 Coins to Player $R</t>
  </si>
  <si>
    <t>3H</t>
  </si>
  <si>
    <t>Collection Stations</t>
  </si>
  <si>
    <t xml:space="preserve">You may gain up to $L6 additional Coins when Taxing other Players </t>
  </si>
  <si>
    <t>Second Thoughts</t>
  </si>
  <si>
    <t>Double Agents</t>
  </si>
  <si>
    <t>Give $D6 Spies to Player $R</t>
  </si>
  <si>
    <t>4H</t>
  </si>
  <si>
    <t>Brown Nose</t>
  </si>
  <si>
    <t>Gain $L3 additional Coins during Flatter</t>
  </si>
  <si>
    <t>Changing Times</t>
  </si>
  <si>
    <t>Questionable Reallocation</t>
  </si>
  <si>
    <t>Give $D6 Commodities to Player $R</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</si>
  <si>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</si>
  <si>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</si>
  <si>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</si>
  <si>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</si>
  <si>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</si>
  <si>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</si>
  <si>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Give the King's Favor to Player $R</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</si>
  <si>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</si>
  <si>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</si>
  <si>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</si>
  <si>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</si>
  <si>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</si>
  <si>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</si>
  <si>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Player $R may peek at the Law card at the top of the queue &amp; put it on the bottom of the queue if they want</t>
  </si>
  <si>
    <t>7H</t>
  </si>
  <si>
    <t>Eager Youth</t>
  </si>
  <si>
    <t>Gain 1 additional Troop for free after Recruiting every 4 - $L3 Troops</t>
  </si>
  <si>
    <t>Insider Trading</t>
  </si>
  <si>
    <t>Give $D6 random Cards from your hand to Player $R</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</si>
  <si>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</si>
  <si>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</si>
  <si>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</si>
  <si>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</si>
  <si>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</si>
  <si>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</si>
  <si>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</si>
  <si>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</si>
  <si>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</si>
  <si>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Destroy an Investment at level $D6</t>
  </si>
  <si>
    <t>10H</t>
  </si>
  <si>
    <t>Silvertounge</t>
  </si>
  <si>
    <t>Purchase up to $L6 additional Spies during Infiltrate (at normal cost)</t>
  </si>
  <si>
    <t>Frivolous Pursuits</t>
  </si>
  <si>
    <t>Corporate Takeover</t>
  </si>
  <si>
    <t>Send an Investment at level $D6 to Player $R</t>
  </si>
  <si>
    <t>JH</t>
  </si>
  <si>
    <t>Royal Bribes</t>
  </si>
  <si>
    <t>Gain $L3 more Commodities per Coin when Buying from the Court</t>
  </si>
  <si>
    <t>Economic Backbone</t>
  </si>
  <si>
    <t>Each Player must have an Investment with at least level $L6 or they will suffer sanctions on Infiltrate</t>
  </si>
  <si>
    <t>Sabotage</t>
  </si>
  <si>
    <t>Downgrade an Investment at level $D6</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</si>
  <si>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</si>
  <si>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</si>
  <si>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</si>
  <si>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</si>
  <si>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</si>
  <si>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</si>
  <si>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</si>
  <si>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</si>
  <si>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</si>
  <si>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Kill a Leader at level $D6</t>
  </si>
  <si>
    <t>AS</t>
  </si>
  <si>
    <t>Genius Commanders</t>
  </si>
  <si>
    <t>Draw $L6 additional cards from any decks during Brainstorm</t>
  </si>
  <si>
    <t>Home Defense</t>
  </si>
  <si>
    <t>No Player may deploy more than $L6 Troops or they will suffer sanctions on Petition &amp; Postpone</t>
  </si>
  <si>
    <t>Betrayal</t>
  </si>
  <si>
    <t>Send a Leader at level $D6 to Player $R</t>
  </si>
  <si>
    <t>2S</t>
  </si>
  <si>
    <t>Damage Redemption</t>
  </si>
  <si>
    <t>Purchase $L3 Spies (at normal cost) when targeted by a Scheme</t>
  </si>
  <si>
    <t>Valuable Advisors</t>
  </si>
  <si>
    <t>Each Player must have at least $L6 sponsored Laws active or in the queue or they will suffer sanctions on Tax</t>
  </si>
  <si>
    <t>Intimidate</t>
  </si>
  <si>
    <t>Demote a Leader at level $D6</t>
  </si>
  <si>
    <t>3S</t>
  </si>
  <si>
    <t>Undeniable Advisors</t>
  </si>
  <si>
    <t>You may repeat Court Actions with level 7 - $L6 Leaders</t>
  </si>
  <si>
    <t>Chattering Windbags</t>
  </si>
  <si>
    <t>No Player may have more than $L6 sponsored Laws active or in the queue or they will suffer sanctions on Tax</t>
  </si>
  <si>
    <t>Humiliate</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</si>
  <si>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</si>
  <si>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</si>
  <si>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</si>
  <si>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</si>
  <si>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</si>
  <si>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</si>
  <si>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</si>
  <si>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</si>
  <si>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</si>
  <si>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</si>
  <si>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</si>
  <si>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</si>
  <si>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</si>
  <si>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</si>
  <si>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</si>
  <si>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</si>
  <si>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</si>
  <si>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</si>
  <si>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</si>
  <si>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</si>
  <si>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</si>
  <si>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</si>
  <si>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</si>
  <si>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</si>
  <si>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</si>
  <si>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</si>
  <si>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</si>
  <si>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</si>
  <si>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</si>
  <si>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</si>
  <si>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</si>
  <si>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</si>
  <si>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</si>
  <si>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</si>
  <si>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</si>
  <si>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</si>
  <si>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</si>
  <si>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</si>
  <si>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</si>
  <si>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</si>
  <si>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</si>
  <si>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</si>
  <si>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</si>
  <si>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</si>
  <si>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</si>
  <si>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Subtract $L3 from Scheme Guard rolls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</si>
  <si>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</si>
  <si>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</si>
  <si>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</si>
  <si>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</si>
  <si>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</si>
  <si>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</si>
  <si>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</si>
  <si>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</si>
  <si>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</si>
  <si>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</si>
  <si>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</si>
  <si>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</si>
  <si>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</si>
  <si>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</si>
  <si>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</si>
  <si>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</si>
  <si>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</si>
  <si>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</si>
  <si>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</si>
  <si>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</si>
  <si>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</si>
  <si>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</si>
  <si>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</si>
  <si>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</si>
  <si>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</si>
  <si>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</si>
  <si>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</si>
  <si>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</si>
  <si>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</si>
  <si>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</si>
  <si>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</si>
  <si>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</si>
  <si>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</si>
  <si>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</si>
  <si>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</si>
  <si>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</si>
  <si>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</si>
  <si>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</si>
  <si>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</si>
  <si>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</si>
  <si>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</si>
  <si>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</si>
  <si>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</si>
  <si>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</si>
  <si>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</si>
  <si>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</si>
  <si>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</si>
  <si>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</si>
  <si>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</si>
  <si>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</si>
  <si>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</si>
  <si>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</si>
  <si>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</si>
  <si>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</si>
  <si>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</si>
  <si>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</si>
  <si>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</si>
  <si>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</si>
  <si>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</si>
  <si>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Target Player rolls a die. If the result is higher than half their Troops, the Scheme is executed. Otherwise, the Scheme fails. (Scheme Guard Roll)</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</si>
  <si>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</si>
  <si>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</si>
  <si>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</si>
  <si>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</si>
  <si>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</si>
  <si>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</si>
  <si>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</si>
  <si>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</si>
  <si>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</si>
  <si>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</si>
  <si>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</si>
  <si>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</si>
  <si>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</si>
  <si>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</si>
  <si>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</si>
  <si>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</si>
  <si>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</si>
  <si>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</si>
  <si>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</si>
  <si>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</si>
  <si>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</si>
  <si>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</si>
  <si>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</si>
  <si>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</si>
  <si>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</si>
  <si>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</si>
  <si>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</si>
  <si>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</si>
  <si>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</si>
  <si>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</si>
  <si>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</si>
  <si>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</si>
  <si>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</si>
  <si>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</si>
  <si>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</si>
  <si>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</si>
  <si>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</si>
  <si>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</si>
  <si>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</si>
  <si>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</si>
  <si>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</si>
  <si>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</si>
  <si>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</si>
  <si>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</si>
  <si>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</si>
  <si>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</si>
  <si>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</si>
  <si>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</si>
  <si>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</si>
  <si>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</si>
  <si>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</si>
  <si>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</si>
  <si>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</si>
  <si>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</si>
  <si>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</si>
  <si>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</si>
  <si>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</si>
  <si>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</si>
  <si>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</si>
  <si>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</si>
  <si>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</si>
  <si>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</si>
  <si>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</si>
  <si>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</si>
  <si>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</si>
  <si>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</si>
  <si>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</si>
  <si>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</si>
  <si>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</si>
  <si>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</si>
  <si>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</si>
  <si>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</si>
  <si>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</si>
  <si>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</si>
  <si>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</si>
  <si>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</si>
  <si>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</si>
  <si>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</si>
  <si>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</si>
  <si>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</si>
  <si>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</si>
  <si>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At least $L3 Players must use Court Actions or all Players suffer sanctions on Flatter</t>
  </si>
  <si>
    <t>No more than $L3 Players may use Court Actions or all Players suffer sanctions on Flatter</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</si>
  <si>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</si>
  <si>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</si>
  <si>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</si>
  <si>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</si>
  <si>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</si>
  <si>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</si>
  <si>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</si>
  <si>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</si>
  <si>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</si>
  <si>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</si>
  <si>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</si>
  <si>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</si>
  <si>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</si>
  <si>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</si>
  <si>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</si>
  <si>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</si>
  <si>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</si>
  <si>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</si>
  <si>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</si>
  <si>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</si>
  <si>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</si>
  <si>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</si>
  <si>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</si>
  <si>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</si>
  <si>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</si>
  <si>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</si>
  <si>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</si>
  <si>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</si>
  <si>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</si>
  <si>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</si>
  <si>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</si>
  <si>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</si>
  <si>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</si>
  <si>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</si>
  <si>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</si>
  <si>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</si>
  <si>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</si>
  <si>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</si>
  <si>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</si>
  <si>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</si>
  <si>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</si>
  <si>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</si>
  <si>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</si>
  <si>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</si>
  <si>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</si>
  <si>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</si>
  <si>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</si>
  <si>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</si>
  <si>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</si>
  <si>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</si>
  <si>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</si>
  <si>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</si>
  <si>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</si>
  <si>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</si>
  <si>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</si>
  <si>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</si>
  <si>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</si>
  <si>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</si>
  <si>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</si>
  <si>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</si>
  <si>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</si>
  <si>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</si>
  <si>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</si>
  <si>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</si>
  <si>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</si>
  <si>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</si>
  <si>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</si>
  <si>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</si>
  <si>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</si>
  <si>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</si>
  <si>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</si>
  <si>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</si>
  <si>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</si>
  <si>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</si>
  <si>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</si>
  <si>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</si>
  <si>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</si>
  <si>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</si>
  <si>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</si>
  <si>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</si>
  <si>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</si>
  <si>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</si>
  <si>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</si>
  <si>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</si>
  <si>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</si>
  <si>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</si>
  <si>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</si>
  <si>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</si>
  <si>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</si>
  <si>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</si>
  <si>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</si>
  <si>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</si>
  <si>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</si>
  <si>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</si>
  <si>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</si>
  <si>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</si>
  <si>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</si>
  <si>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</si>
  <si>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</si>
  <si>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</si>
  <si>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</si>
  <si>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</si>
  <si>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</si>
  <si>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</si>
  <si>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</si>
  <si>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</si>
  <si>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</si>
  <si>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</si>
  <si>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</si>
  <si>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</si>
  <si>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</si>
  <si>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</si>
  <si>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</si>
  <si>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</si>
  <si>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</si>
  <si>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</si>
  <si>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</si>
  <si>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</si>
  <si>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</si>
  <si>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</si>
  <si>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</si>
  <si>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</si>
  <si>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</si>
  <si>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</si>
  <si>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</si>
  <si>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</si>
  <si>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</si>
  <si>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</si>
  <si>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</si>
  <si>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</si>
  <si>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</si>
  <si>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</si>
  <si>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</si>
  <si>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</si>
  <si>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</si>
  <si>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</si>
  <si>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</si>
  <si>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</si>
  <si>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</si>
  <si>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</si>
  <si>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</si>
  <si>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</si>
  <si>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</si>
  <si>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</si>
  <si>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</si>
  <si>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</si>
  <si>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</si>
  <si>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</si>
  <si>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</si>
  <si>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</si>
  <si>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</si>
  <si>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</si>
  <si>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</si>
  <si>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</si>
  <si>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</si>
  <si>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</si>
  <si>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</si>
  <si>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</si>
  <si>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</si>
  <si>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</si>
  <si>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</si>
  <si>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</si>
  <si>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</si>
  <si>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</si>
  <si>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</si>
  <si>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</si>
  <si>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</si>
  <si>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</si>
  <si>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</si>
  <si>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</si>
  <si>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</si>
  <si>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</si>
  <si>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</si>
  <si>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</si>
  <si>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</si>
  <si>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</si>
  <si>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</si>
  <si>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</si>
  <si>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</si>
  <si>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</si>
  <si>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</si>
  <si>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</si>
  <si>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</si>
  <si>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</si>
  <si>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</si>
  <si>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</si>
  <si>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</si>
  <si>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</si>
  <si>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</si>
  <si>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At least $L3 Players must use Undermarket Actions or all Players suffer sanctions on Prioritize</t>
  </si>
  <si>
    <t>No more than $L3 Players may use Undermarket Actions or all Players suffer sanctions on Prioritize</t>
  </si>
  <si>
    <t>Spend $L3 fewer Cards per Coin when Monetizing in the Undermarket</t>
  </si>
  <si>
    <t>Fire Temple</t>
  </si>
  <si>
    <t>Spend $L3 fewer Cards per Coin when Monetizing in the Court</t>
  </si>
  <si>
    <t>Skillful Orators</t>
  </si>
  <si>
    <t>Gain $L3 additional Coins from outside the Royal Bank when winning a Sue</t>
  </si>
  <si>
    <t>Move the Law $L6 additional places forward in the queue during Prioritize</t>
  </si>
  <si>
    <t>1 per Sue won</t>
  </si>
  <si>
    <t>Setup End</t>
  </si>
  <si>
    <t>Scoring End</t>
  </si>
  <si>
    <t>Lowest Score</t>
  </si>
  <si>
    <t>Highest Score</t>
  </si>
  <si>
    <t>Rearrange $D3 Law cards from the top of the queue</t>
  </si>
  <si>
    <t>Ratify deliberated Law and set value of next deliberated Law</t>
  </si>
  <si>
    <t>Trade for up to $L3 additional Coins when Monetizing in the Undermarket</t>
  </si>
  <si>
    <t>Trade for up to $L3 additional Coins when Monetizing in the Court</t>
  </si>
  <si>
    <t>Heavy Overtime</t>
  </si>
  <si>
    <t>Assassination</t>
  </si>
  <si>
    <t>Exchange a random held Alliance Token, or one of your own if you hold none, with one of the choice of Player $R</t>
  </si>
  <si>
    <t>Courtroom Gambling</t>
  </si>
  <si>
    <t>Kingdom Advocates</t>
  </si>
  <si>
    <t>Exchange Alliance tokens with a Player of your choice. The chosen Player must place a Leader on this space. Both players then exchange up to the lowest LL tokens.</t>
  </si>
  <si>
    <t>If Greeks are victorious, give remaining attacking Greeks to the player who deployed the fewest Troops (break ties with deployment order then with a Tie Trial or agreement). That player destroys 1 Troop per attacking Greek or 1 investment at level $D6 if they have no Troops.</t>
  </si>
  <si>
    <t>Add 1 Coin per Player to Royal Bank</t>
  </si>
  <si>
    <t>Give 1 Troop per Player to each player</t>
  </si>
  <si>
    <t>Send Troops up to Leader's Level to the Battlefield</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</si>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</sst>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1">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tabSelected="1" workbookViewId="0">
      <pane xSplit="1" ySplit="1" topLeftCell="B11" activePane="bottomRight" state="frozen"/>
      <selection pane="topRight"/>
      <selection pane="bottomLeft"/>
      <selection pane="bottomRight" activeCell="G23" sqref="G23"/>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13</v>
      </c>
      <c r="H2" s="4"/>
      <c r="I2" s="2"/>
      <c r="J2" s="4"/>
    </row>
    <row r="3" spans="1:10" ht="45" x14ac:dyDescent="0.25">
      <c r="A3" s="11" t="s">
        <v>14</v>
      </c>
      <c r="B3" s="6" t="s">
        <v>487</v>
      </c>
      <c r="C3" s="24" t="s">
        <v>489</v>
      </c>
      <c r="D3" s="6" t="s">
        <v>16</v>
      </c>
      <c r="E3" s="15" t="s">
        <v>17</v>
      </c>
      <c r="F3" s="6" t="s">
        <v>18</v>
      </c>
      <c r="G3" s="7" t="s">
        <v>19</v>
      </c>
      <c r="H3" s="4"/>
      <c r="I3" s="2"/>
      <c r="J3" s="4"/>
    </row>
    <row r="4" spans="1:10" ht="30" x14ac:dyDescent="0.25">
      <c r="A4" s="11" t="s">
        <v>20</v>
      </c>
      <c r="B4" s="6" t="s">
        <v>21</v>
      </c>
      <c r="C4" s="15" t="s">
        <v>22</v>
      </c>
      <c r="D4" s="6" t="s">
        <v>23</v>
      </c>
      <c r="E4" s="15" t="s">
        <v>441</v>
      </c>
      <c r="F4" s="6" t="s">
        <v>24</v>
      </c>
      <c r="G4" s="7" t="s">
        <v>25</v>
      </c>
      <c r="H4" s="4"/>
      <c r="I4" s="3"/>
      <c r="J4" s="4"/>
    </row>
    <row r="5" spans="1:10" ht="30" x14ac:dyDescent="0.25">
      <c r="A5" s="11" t="s">
        <v>26</v>
      </c>
      <c r="B5" s="8" t="s">
        <v>27</v>
      </c>
      <c r="C5" s="15" t="s">
        <v>28</v>
      </c>
      <c r="D5" s="6" t="s">
        <v>29</v>
      </c>
      <c r="E5" s="15" t="s">
        <v>441</v>
      </c>
      <c r="F5" s="6" t="s">
        <v>30</v>
      </c>
      <c r="G5" s="7" t="s">
        <v>31</v>
      </c>
      <c r="H5" s="4"/>
      <c r="I5" s="2"/>
      <c r="J5" s="4"/>
    </row>
    <row r="6" spans="1:10" ht="45" x14ac:dyDescent="0.25">
      <c r="A6" s="11" t="s">
        <v>32</v>
      </c>
      <c r="B6" s="6" t="s">
        <v>33</v>
      </c>
      <c r="C6" s="15" t="s">
        <v>34</v>
      </c>
      <c r="D6" s="6" t="s">
        <v>35</v>
      </c>
      <c r="E6" s="15" t="s">
        <v>36</v>
      </c>
      <c r="F6" s="6" t="s">
        <v>37</v>
      </c>
      <c r="G6" s="9" t="s">
        <v>38</v>
      </c>
      <c r="H6" s="4"/>
      <c r="I6" s="3"/>
      <c r="J6" s="4"/>
    </row>
    <row r="7" spans="1:10" ht="45" x14ac:dyDescent="0.25">
      <c r="A7" s="11" t="s">
        <v>39</v>
      </c>
      <c r="B7" s="6" t="s">
        <v>40</v>
      </c>
      <c r="C7" s="15" t="s">
        <v>41</v>
      </c>
      <c r="D7" s="6" t="s">
        <v>42</v>
      </c>
      <c r="E7" s="18" t="s">
        <v>43</v>
      </c>
      <c r="F7" s="6" t="s">
        <v>44</v>
      </c>
      <c r="G7" s="7" t="s">
        <v>45</v>
      </c>
      <c r="H7" s="4"/>
      <c r="I7" s="3"/>
      <c r="J7" s="4"/>
    </row>
    <row r="8" spans="1:10" ht="30" x14ac:dyDescent="0.25">
      <c r="A8" s="11" t="s">
        <v>46</v>
      </c>
      <c r="B8" s="6" t="s">
        <v>47</v>
      </c>
      <c r="C8" s="15" t="s">
        <v>48</v>
      </c>
      <c r="D8" s="6" t="s">
        <v>442</v>
      </c>
      <c r="E8" s="15" t="s">
        <v>441</v>
      </c>
      <c r="F8" s="6" t="s">
        <v>49</v>
      </c>
      <c r="G8" s="7" t="s">
        <v>50</v>
      </c>
      <c r="H8" s="4"/>
      <c r="I8" s="2"/>
      <c r="J8" s="4"/>
    </row>
    <row r="9" spans="1:10" ht="30" x14ac:dyDescent="0.25">
      <c r="A9" s="11" t="s">
        <v>51</v>
      </c>
      <c r="B9" s="6" t="s">
        <v>52</v>
      </c>
      <c r="C9" s="15" t="s">
        <v>53</v>
      </c>
      <c r="D9" s="6" t="s">
        <v>54</v>
      </c>
      <c r="E9" s="15" t="s">
        <v>441</v>
      </c>
      <c r="F9" s="6" t="s">
        <v>55</v>
      </c>
      <c r="G9" s="7" t="s">
        <v>495</v>
      </c>
      <c r="H9" s="4"/>
      <c r="I9" s="3"/>
      <c r="J9" s="4"/>
    </row>
    <row r="10" spans="1:10" ht="45" x14ac:dyDescent="0.25">
      <c r="A10" s="11" t="s">
        <v>56</v>
      </c>
      <c r="B10" s="6" t="s">
        <v>57</v>
      </c>
      <c r="C10" s="15" t="s">
        <v>58</v>
      </c>
      <c r="D10" s="6" t="s">
        <v>447</v>
      </c>
      <c r="E10" s="15" t="s">
        <v>455</v>
      </c>
      <c r="F10" s="6" t="s">
        <v>59</v>
      </c>
      <c r="G10" s="7" t="s">
        <v>60</v>
      </c>
      <c r="H10" s="4"/>
      <c r="I10" s="2"/>
      <c r="J10" s="4"/>
    </row>
    <row r="11" spans="1:10" ht="45" x14ac:dyDescent="0.25">
      <c r="A11" s="11" t="s">
        <v>61</v>
      </c>
      <c r="B11" s="6" t="s">
        <v>62</v>
      </c>
      <c r="C11" s="15" t="s">
        <v>63</v>
      </c>
      <c r="D11" s="6" t="s">
        <v>64</v>
      </c>
      <c r="E11" s="15" t="s">
        <v>456</v>
      </c>
      <c r="F11" s="6" t="s">
        <v>65</v>
      </c>
      <c r="G11" s="7" t="s">
        <v>66</v>
      </c>
      <c r="H11" s="4"/>
      <c r="I11" s="2"/>
      <c r="J11" s="4"/>
    </row>
    <row r="12" spans="1:10" ht="45" x14ac:dyDescent="0.25">
      <c r="A12" s="11" t="s">
        <v>67</v>
      </c>
      <c r="B12" s="6" t="s">
        <v>68</v>
      </c>
      <c r="C12" s="15" t="s">
        <v>69</v>
      </c>
      <c r="D12" s="6" t="s">
        <v>70</v>
      </c>
      <c r="E12" s="15" t="s">
        <v>71</v>
      </c>
      <c r="F12" s="6" t="s">
        <v>72</v>
      </c>
      <c r="G12" s="7" t="s">
        <v>73</v>
      </c>
      <c r="H12" s="4"/>
      <c r="I12" s="2"/>
      <c r="J12" s="4"/>
    </row>
    <row r="13" spans="1:10" ht="45" x14ac:dyDescent="0.25">
      <c r="A13" s="11" t="s">
        <v>74</v>
      </c>
      <c r="B13" s="6" t="s">
        <v>502</v>
      </c>
      <c r="C13" s="15" t="s">
        <v>488</v>
      </c>
      <c r="D13" s="6" t="s">
        <v>76</v>
      </c>
      <c r="E13" s="15" t="s">
        <v>77</v>
      </c>
      <c r="F13" s="6" t="s">
        <v>78</v>
      </c>
      <c r="G13" s="7" t="s">
        <v>73</v>
      </c>
      <c r="H13" s="4"/>
      <c r="I13" s="2"/>
      <c r="J13" s="4"/>
    </row>
    <row r="14" spans="1:10" ht="45" x14ac:dyDescent="0.25">
      <c r="A14" s="11" t="s">
        <v>79</v>
      </c>
      <c r="B14" s="6" t="s">
        <v>80</v>
      </c>
      <c r="C14" s="15" t="s">
        <v>484</v>
      </c>
      <c r="D14" s="6" t="s">
        <v>81</v>
      </c>
      <c r="E14" s="15" t="s">
        <v>82</v>
      </c>
      <c r="F14" s="6" t="s">
        <v>500</v>
      </c>
      <c r="G14" s="7" t="s">
        <v>83</v>
      </c>
      <c r="H14" s="4"/>
      <c r="I14" s="3"/>
      <c r="J14" s="4"/>
    </row>
    <row r="15" spans="1:10" ht="45" x14ac:dyDescent="0.25">
      <c r="A15" s="11" t="s">
        <v>84</v>
      </c>
      <c r="B15" s="6" t="s">
        <v>85</v>
      </c>
      <c r="C15" s="15" t="s">
        <v>86</v>
      </c>
      <c r="D15" s="6" t="s">
        <v>87</v>
      </c>
      <c r="E15" s="15" t="s">
        <v>88</v>
      </c>
      <c r="F15" s="6" t="s">
        <v>89</v>
      </c>
      <c r="G15" s="7" t="s">
        <v>90</v>
      </c>
      <c r="H15" s="4"/>
      <c r="I15" s="3"/>
      <c r="J15" s="4"/>
    </row>
    <row r="16" spans="1:10" ht="45" x14ac:dyDescent="0.25">
      <c r="A16" s="11" t="s">
        <v>91</v>
      </c>
      <c r="B16" s="6" t="s">
        <v>92</v>
      </c>
      <c r="C16" s="15" t="s">
        <v>93</v>
      </c>
      <c r="D16" s="6" t="s">
        <v>94</v>
      </c>
      <c r="E16" s="15" t="s">
        <v>95</v>
      </c>
      <c r="F16" s="6" t="s">
        <v>96</v>
      </c>
      <c r="G16" s="7" t="s">
        <v>97</v>
      </c>
      <c r="H16" s="4"/>
      <c r="I16" s="2"/>
      <c r="J16" s="4"/>
    </row>
    <row r="17" spans="1:10" ht="45" x14ac:dyDescent="0.25">
      <c r="A17" s="11" t="s">
        <v>98</v>
      </c>
      <c r="B17" s="6" t="s">
        <v>99</v>
      </c>
      <c r="C17" s="15" t="s">
        <v>100</v>
      </c>
      <c r="D17" s="6" t="s">
        <v>101</v>
      </c>
      <c r="E17" s="15" t="s">
        <v>102</v>
      </c>
      <c r="F17" s="6" t="s">
        <v>103</v>
      </c>
      <c r="G17" s="7" t="s">
        <v>97</v>
      </c>
      <c r="H17" s="4"/>
      <c r="I17" s="2"/>
      <c r="J17" s="4"/>
    </row>
    <row r="18" spans="1:10" ht="60" x14ac:dyDescent="0.25">
      <c r="A18" s="11" t="s">
        <v>104</v>
      </c>
      <c r="B18" s="6" t="s">
        <v>499</v>
      </c>
      <c r="C18" s="15" t="s">
        <v>106</v>
      </c>
      <c r="D18" s="6" t="s">
        <v>107</v>
      </c>
      <c r="E18" s="15" t="s">
        <v>457</v>
      </c>
      <c r="F18" s="6" t="s">
        <v>108</v>
      </c>
      <c r="G18" s="7" t="s">
        <v>501</v>
      </c>
      <c r="H18" s="4"/>
      <c r="I18" s="2"/>
      <c r="J18" s="4"/>
    </row>
    <row r="19" spans="1:10" ht="45" x14ac:dyDescent="0.25">
      <c r="A19" s="11" t="s">
        <v>109</v>
      </c>
      <c r="B19" s="6" t="s">
        <v>110</v>
      </c>
      <c r="C19" s="15" t="s">
        <v>111</v>
      </c>
      <c r="D19" s="6" t="s">
        <v>112</v>
      </c>
      <c r="E19" s="15" t="s">
        <v>458</v>
      </c>
      <c r="F19" s="23"/>
      <c r="G19" s="25"/>
      <c r="H19" s="4"/>
      <c r="I19" s="2"/>
      <c r="J19" s="4"/>
    </row>
    <row r="20" spans="1:10" ht="45" x14ac:dyDescent="0.25">
      <c r="A20" s="11" t="s">
        <v>113</v>
      </c>
      <c r="B20" s="6" t="s">
        <v>114</v>
      </c>
      <c r="C20" s="15" t="s">
        <v>115</v>
      </c>
      <c r="D20" s="6" t="s">
        <v>116</v>
      </c>
      <c r="E20" s="15" t="s">
        <v>117</v>
      </c>
      <c r="F20" s="6"/>
      <c r="G20" s="7"/>
      <c r="H20" s="4"/>
      <c r="I20" s="3"/>
      <c r="J20" s="4"/>
    </row>
    <row r="21" spans="1:10" ht="45" x14ac:dyDescent="0.25">
      <c r="A21" s="11" t="s">
        <v>118</v>
      </c>
      <c r="B21" s="6" t="s">
        <v>119</v>
      </c>
      <c r="C21" s="15" t="s">
        <v>120</v>
      </c>
      <c r="D21" s="6" t="s">
        <v>121</v>
      </c>
      <c r="E21" s="15" t="s">
        <v>122</v>
      </c>
      <c r="F21" s="6"/>
      <c r="G21" s="7"/>
      <c r="H21" s="4"/>
      <c r="I21" s="3"/>
      <c r="J21" s="4"/>
    </row>
    <row r="22" spans="1:10" ht="45" x14ac:dyDescent="0.25">
      <c r="A22" s="11" t="s">
        <v>123</v>
      </c>
      <c r="B22" s="6" t="s">
        <v>124</v>
      </c>
      <c r="C22" s="15" t="s">
        <v>125</v>
      </c>
      <c r="D22" s="6" t="s">
        <v>126</v>
      </c>
      <c r="E22" s="15" t="s">
        <v>479</v>
      </c>
      <c r="F22" s="6"/>
      <c r="G22" s="7"/>
      <c r="H22" s="4"/>
      <c r="I22" s="3"/>
      <c r="J22" s="4"/>
    </row>
    <row r="23" spans="1:10" ht="45" x14ac:dyDescent="0.25">
      <c r="A23" s="11" t="s">
        <v>127</v>
      </c>
      <c r="B23" s="6" t="s">
        <v>128</v>
      </c>
      <c r="C23" s="15" t="s">
        <v>129</v>
      </c>
      <c r="D23" s="6" t="s">
        <v>130</v>
      </c>
      <c r="E23" s="15" t="s">
        <v>131</v>
      </c>
      <c r="F23" s="6"/>
      <c r="G23" s="9"/>
      <c r="H23" s="4"/>
      <c r="I23" s="3"/>
      <c r="J23" s="4"/>
    </row>
    <row r="24" spans="1:10" ht="45" x14ac:dyDescent="0.25">
      <c r="A24" s="11" t="s">
        <v>132</v>
      </c>
      <c r="B24" s="6" t="s">
        <v>133</v>
      </c>
      <c r="C24" s="15" t="s">
        <v>134</v>
      </c>
      <c r="D24" s="6" t="s">
        <v>135</v>
      </c>
      <c r="E24" s="15" t="s">
        <v>136</v>
      </c>
      <c r="F24" s="6"/>
      <c r="G24" s="7"/>
      <c r="H24" s="4"/>
      <c r="I24" s="3"/>
      <c r="J24" s="4"/>
    </row>
    <row r="25" spans="1:10" ht="45" x14ac:dyDescent="0.25">
      <c r="A25" s="11" t="s">
        <v>137</v>
      </c>
      <c r="B25" s="6" t="s">
        <v>449</v>
      </c>
      <c r="C25" s="16" t="s">
        <v>459</v>
      </c>
      <c r="D25" s="6" t="s">
        <v>139</v>
      </c>
      <c r="E25" s="15" t="s">
        <v>140</v>
      </c>
      <c r="F25" s="6"/>
      <c r="G25" s="7"/>
      <c r="H25" s="4"/>
      <c r="I25" s="3"/>
      <c r="J25" s="4"/>
    </row>
    <row r="26" spans="1:10" ht="45" x14ac:dyDescent="0.25">
      <c r="A26" s="11" t="s">
        <v>141</v>
      </c>
      <c r="B26" s="6" t="s">
        <v>448</v>
      </c>
      <c r="C26" s="15" t="s">
        <v>460</v>
      </c>
      <c r="D26" s="6" t="s">
        <v>142</v>
      </c>
      <c r="E26" s="15" t="s">
        <v>482</v>
      </c>
      <c r="F26" s="6"/>
      <c r="G26" s="7"/>
      <c r="H26" s="4"/>
      <c r="I26" s="3"/>
      <c r="J26" s="4"/>
    </row>
    <row r="27" spans="1:10" ht="45" x14ac:dyDescent="0.25">
      <c r="A27" s="11" t="s">
        <v>143</v>
      </c>
      <c r="B27" s="6" t="s">
        <v>144</v>
      </c>
      <c r="C27" s="15" t="s">
        <v>145</v>
      </c>
      <c r="D27" s="6" t="s">
        <v>146</v>
      </c>
      <c r="E27" s="15" t="s">
        <v>483</v>
      </c>
      <c r="F27" s="6"/>
      <c r="G27" s="7"/>
      <c r="H27" s="4"/>
      <c r="I27" s="3"/>
      <c r="J27" s="4"/>
    </row>
    <row r="28" spans="1:10" ht="45" x14ac:dyDescent="0.25">
      <c r="A28" s="11" t="s">
        <v>147</v>
      </c>
      <c r="B28" s="6" t="s">
        <v>148</v>
      </c>
      <c r="C28" s="16" t="s">
        <v>149</v>
      </c>
      <c r="D28" s="6" t="s">
        <v>150</v>
      </c>
      <c r="E28" s="15" t="s">
        <v>291</v>
      </c>
      <c r="F28" s="6"/>
      <c r="G28" s="7"/>
      <c r="H28" s="4"/>
      <c r="I28" s="3"/>
      <c r="J28" s="4"/>
    </row>
    <row r="29" spans="1:10" ht="45" x14ac:dyDescent="0.25">
      <c r="A29" s="11" t="s">
        <v>151</v>
      </c>
      <c r="B29" s="6" t="s">
        <v>152</v>
      </c>
      <c r="C29" s="16" t="s">
        <v>153</v>
      </c>
      <c r="D29" s="6" t="s">
        <v>154</v>
      </c>
      <c r="E29" s="15" t="s">
        <v>292</v>
      </c>
      <c r="F29" s="6"/>
      <c r="G29" s="7"/>
      <c r="H29" s="4"/>
      <c r="I29" s="3"/>
      <c r="J29" s="4"/>
    </row>
    <row r="30" spans="1:10" ht="45" x14ac:dyDescent="0.25">
      <c r="A30" s="11" t="s">
        <v>155</v>
      </c>
      <c r="B30" s="6" t="s">
        <v>156</v>
      </c>
      <c r="C30" s="15" t="s">
        <v>157</v>
      </c>
      <c r="D30" s="6" t="s">
        <v>158</v>
      </c>
      <c r="E30" s="15" t="s">
        <v>159</v>
      </c>
      <c r="F30" s="6"/>
      <c r="G30" s="7"/>
      <c r="H30" s="4"/>
      <c r="I30" s="3"/>
      <c r="J30" s="4"/>
    </row>
    <row r="31" spans="1:10" ht="45" x14ac:dyDescent="0.25">
      <c r="A31" s="11" t="s">
        <v>160</v>
      </c>
      <c r="B31" s="6" t="s">
        <v>161</v>
      </c>
      <c r="C31" s="15" t="s">
        <v>162</v>
      </c>
      <c r="D31" s="6" t="s">
        <v>163</v>
      </c>
      <c r="E31" s="15" t="s">
        <v>164</v>
      </c>
      <c r="F31" s="6"/>
      <c r="G31" s="7"/>
      <c r="H31" s="4"/>
      <c r="I31" s="3"/>
      <c r="J31" s="4"/>
    </row>
    <row r="32" spans="1:10" ht="30" x14ac:dyDescent="0.25">
      <c r="A32" s="11" t="s">
        <v>165</v>
      </c>
      <c r="B32" s="6" t="s">
        <v>166</v>
      </c>
      <c r="C32" s="15" t="s">
        <v>167</v>
      </c>
      <c r="D32" s="8" t="s">
        <v>518</v>
      </c>
      <c r="E32" s="15" t="s">
        <v>516</v>
      </c>
      <c r="F32" s="6"/>
      <c r="G32" s="7"/>
      <c r="H32" s="4"/>
      <c r="I32" s="3"/>
      <c r="J32" s="4"/>
    </row>
    <row r="33" spans="1:10" ht="45" x14ac:dyDescent="0.25">
      <c r="A33" s="11" t="s">
        <v>168</v>
      </c>
      <c r="B33" s="6" t="s">
        <v>169</v>
      </c>
      <c r="C33" s="15" t="s">
        <v>170</v>
      </c>
      <c r="D33" s="6" t="s">
        <v>519</v>
      </c>
      <c r="E33" s="15" t="s">
        <v>517</v>
      </c>
      <c r="F33" s="6"/>
      <c r="G33" s="7"/>
      <c r="H33" s="4"/>
      <c r="I33" s="3"/>
      <c r="J33" s="4"/>
    </row>
    <row r="34" spans="1:10" ht="30" x14ac:dyDescent="0.25">
      <c r="A34" s="11" t="s">
        <v>171</v>
      </c>
      <c r="B34" s="6" t="s">
        <v>172</v>
      </c>
      <c r="C34" s="15" t="s">
        <v>497</v>
      </c>
      <c r="D34" s="6"/>
      <c r="E34" s="16"/>
      <c r="F34" s="6"/>
      <c r="G34" s="7"/>
      <c r="H34" s="4"/>
      <c r="I34" s="3"/>
      <c r="J34" s="4"/>
    </row>
    <row r="35" spans="1:10" ht="30" x14ac:dyDescent="0.25">
      <c r="A35" s="11" t="s">
        <v>173</v>
      </c>
      <c r="B35" s="6" t="s">
        <v>174</v>
      </c>
      <c r="C35" s="15" t="s">
        <v>175</v>
      </c>
      <c r="D35" s="6"/>
      <c r="E35" s="16"/>
      <c r="F35" s="6"/>
      <c r="G35" s="7"/>
      <c r="H35" s="4"/>
      <c r="I35" s="3"/>
      <c r="J35" s="4"/>
    </row>
    <row r="36" spans="1:10" ht="30" x14ac:dyDescent="0.25">
      <c r="A36" s="11" t="s">
        <v>176</v>
      </c>
      <c r="B36" s="6" t="s">
        <v>485</v>
      </c>
      <c r="C36" s="15" t="s">
        <v>486</v>
      </c>
      <c r="D36" s="6"/>
      <c r="E36" s="16"/>
      <c r="F36" s="23"/>
      <c r="G36" s="25"/>
      <c r="H36" s="4"/>
      <c r="I36" s="3"/>
      <c r="J36" s="4"/>
    </row>
    <row r="37" spans="1:10" ht="30" x14ac:dyDescent="0.25">
      <c r="A37" s="11" t="s">
        <v>177</v>
      </c>
      <c r="B37" s="6" t="s">
        <v>503</v>
      </c>
      <c r="C37" s="15" t="s">
        <v>498</v>
      </c>
      <c r="D37" s="6"/>
      <c r="E37" s="16"/>
      <c r="F37" s="6"/>
      <c r="G37" s="7"/>
      <c r="H37" s="4"/>
      <c r="I37" s="3"/>
      <c r="J37" s="4"/>
    </row>
    <row r="38" spans="1:10" ht="30" x14ac:dyDescent="0.25">
      <c r="A38" s="11" t="s">
        <v>178</v>
      </c>
      <c r="B38" s="6" t="s">
        <v>515</v>
      </c>
      <c r="C38" s="15" t="s">
        <v>512</v>
      </c>
      <c r="D38" s="6"/>
      <c r="E38" s="16"/>
      <c r="F38" s="6"/>
      <c r="G38" s="7"/>
      <c r="H38" s="4"/>
      <c r="I38" s="3"/>
      <c r="J38" s="4"/>
    </row>
    <row r="39" spans="1:10" ht="30" x14ac:dyDescent="0.25">
      <c r="A39" s="11" t="s">
        <v>179</v>
      </c>
      <c r="B39" s="6" t="s">
        <v>514</v>
      </c>
      <c r="C39" s="15" t="s">
        <v>513</v>
      </c>
      <c r="D39" s="6"/>
      <c r="E39" s="16"/>
      <c r="F39" s="6"/>
      <c r="G39" s="7"/>
      <c r="H39" s="4"/>
      <c r="I39" s="3"/>
      <c r="J39" s="4"/>
    </row>
    <row r="40" spans="1:10" x14ac:dyDescent="0.25">
      <c r="A40" s="11" t="s">
        <v>180</v>
      </c>
      <c r="B40" s="6"/>
      <c r="C40" s="16"/>
      <c r="D40" s="6"/>
      <c r="E40" s="16"/>
      <c r="F40" s="6"/>
      <c r="G40" s="9"/>
      <c r="H40" s="4"/>
      <c r="I40" s="3"/>
      <c r="J40" s="4"/>
    </row>
    <row r="41" spans="1:10" x14ac:dyDescent="0.25">
      <c r="A41" s="11" t="s">
        <v>181</v>
      </c>
      <c r="B41" s="6"/>
      <c r="C41" s="16"/>
      <c r="D41" s="6"/>
      <c r="E41" s="16"/>
      <c r="F41" s="6"/>
      <c r="G41" s="7"/>
      <c r="H41" s="4"/>
      <c r="I41" s="3"/>
      <c r="J41" s="4"/>
    </row>
    <row r="42" spans="1:10" x14ac:dyDescent="0.25">
      <c r="A42" s="11" t="s">
        <v>182</v>
      </c>
      <c r="B42" s="6"/>
      <c r="C42" s="16"/>
      <c r="D42" s="6"/>
      <c r="E42" s="16"/>
      <c r="F42" s="6"/>
      <c r="G42" s="7"/>
      <c r="H42" s="4"/>
      <c r="I42" s="3"/>
      <c r="J42" s="4"/>
    </row>
    <row r="43" spans="1:10" x14ac:dyDescent="0.25">
      <c r="A43" s="11" t="s">
        <v>183</v>
      </c>
      <c r="B43" s="6"/>
      <c r="C43" s="16"/>
      <c r="D43" s="6"/>
      <c r="E43" s="16"/>
      <c r="F43" s="6"/>
      <c r="G43" s="7"/>
      <c r="H43" s="4"/>
      <c r="I43" s="3"/>
      <c r="J43" s="4"/>
    </row>
    <row r="44" spans="1:10" x14ac:dyDescent="0.25">
      <c r="A44" s="11" t="s">
        <v>184</v>
      </c>
      <c r="B44" s="6"/>
      <c r="C44" s="16"/>
      <c r="D44" s="6"/>
      <c r="E44" s="16"/>
      <c r="F44" s="6"/>
      <c r="G44" s="7"/>
      <c r="H44" s="4"/>
      <c r="I44" s="3"/>
      <c r="J44" s="4"/>
    </row>
    <row r="45" spans="1:10" x14ac:dyDescent="0.25">
      <c r="A45" s="11" t="s">
        <v>185</v>
      </c>
      <c r="B45" s="6"/>
      <c r="C45" s="16"/>
      <c r="D45" s="6"/>
      <c r="E45" s="16"/>
      <c r="F45" s="6"/>
      <c r="G45" s="7"/>
      <c r="H45" s="4"/>
      <c r="I45" s="3"/>
      <c r="J45" s="4"/>
    </row>
    <row r="46" spans="1:10" x14ac:dyDescent="0.25">
      <c r="A46" s="11" t="s">
        <v>186</v>
      </c>
      <c r="B46" s="6"/>
      <c r="C46" s="16"/>
      <c r="D46" s="6"/>
      <c r="E46" s="16"/>
      <c r="F46" s="6"/>
      <c r="G46" s="7"/>
      <c r="H46" s="4"/>
      <c r="I46" s="3"/>
      <c r="J46" s="4"/>
    </row>
    <row r="47" spans="1:10" x14ac:dyDescent="0.25">
      <c r="A47" s="11" t="s">
        <v>187</v>
      </c>
      <c r="B47" s="6"/>
      <c r="C47" s="16"/>
      <c r="D47" s="6"/>
      <c r="E47" s="16"/>
      <c r="F47" s="6"/>
      <c r="G47" s="7"/>
      <c r="H47" s="4"/>
      <c r="I47" s="3"/>
      <c r="J47" s="4"/>
    </row>
    <row r="48" spans="1:10" x14ac:dyDescent="0.25">
      <c r="A48" s="11" t="s">
        <v>188</v>
      </c>
      <c r="B48" s="6"/>
      <c r="C48" s="16"/>
      <c r="D48" s="6"/>
      <c r="E48" s="16"/>
      <c r="F48" s="6"/>
      <c r="G48" s="7"/>
      <c r="H48" s="4"/>
      <c r="I48" s="3"/>
      <c r="J48" s="4"/>
    </row>
    <row r="49" spans="1:10" x14ac:dyDescent="0.25">
      <c r="A49" s="11" t="s">
        <v>189</v>
      </c>
      <c r="B49" s="6"/>
      <c r="C49" s="16"/>
      <c r="D49" s="6"/>
      <c r="E49" s="16"/>
      <c r="F49" s="6"/>
      <c r="G49" s="7"/>
      <c r="H49" s="4"/>
      <c r="I49" s="3"/>
      <c r="J49" s="4"/>
    </row>
    <row r="50" spans="1:10" x14ac:dyDescent="0.25">
      <c r="A50" s="11" t="s">
        <v>190</v>
      </c>
      <c r="B50" s="6"/>
      <c r="C50" s="16"/>
      <c r="D50" s="6"/>
      <c r="E50" s="16"/>
      <c r="F50" s="6"/>
      <c r="G50" s="7"/>
      <c r="H50" s="4"/>
      <c r="I50" s="3"/>
      <c r="J50" s="4"/>
    </row>
    <row r="51" spans="1:10" x14ac:dyDescent="0.25">
      <c r="A51" s="11" t="s">
        <v>191</v>
      </c>
      <c r="B51" s="6"/>
      <c r="C51" s="16"/>
      <c r="D51" s="6"/>
      <c r="E51" s="16"/>
      <c r="F51" s="6"/>
      <c r="G51" s="7"/>
      <c r="H51" s="4"/>
      <c r="I51" s="3"/>
      <c r="J51" s="4"/>
    </row>
    <row r="52" spans="1:10" x14ac:dyDescent="0.25">
      <c r="A52" s="11" t="s">
        <v>192</v>
      </c>
      <c r="B52" s="6"/>
      <c r="C52" s="16"/>
      <c r="D52" s="6"/>
      <c r="E52" s="16"/>
      <c r="F52" s="6"/>
      <c r="G52" s="7"/>
      <c r="H52" s="4"/>
      <c r="I52" s="3"/>
      <c r="J52" s="4"/>
    </row>
    <row r="53" spans="1:10" ht="15.75" thickBot="1" x14ac:dyDescent="0.3">
      <c r="A53" s="12" t="s">
        <v>193</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2" activePane="bottomLeft" state="frozen"/>
      <selection activeCell="E1" sqref="E1"/>
      <selection pane="bottomLeft" activeCell="B18" sqref="B18"/>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194</v>
      </c>
      <c r="B1" s="52" t="s">
        <v>195</v>
      </c>
      <c r="C1" s="53" t="s">
        <v>196</v>
      </c>
      <c r="D1" s="54" t="s">
        <v>197</v>
      </c>
      <c r="E1" s="54" t="s">
        <v>198</v>
      </c>
      <c r="F1" s="54" t="s">
        <v>199</v>
      </c>
      <c r="G1" s="54" t="s">
        <v>452</v>
      </c>
      <c r="H1" s="54" t="s">
        <v>200</v>
      </c>
      <c r="I1" s="55" t="s">
        <v>201</v>
      </c>
    </row>
    <row r="2" spans="1:9" ht="60" x14ac:dyDescent="0.25">
      <c r="A2" s="47" t="s">
        <v>202</v>
      </c>
      <c r="B2" s="48" t="s">
        <v>508</v>
      </c>
      <c r="C2" s="49" t="s">
        <v>203</v>
      </c>
      <c r="D2" s="50" t="s">
        <v>204</v>
      </c>
      <c r="E2" s="50" t="s">
        <v>205</v>
      </c>
      <c r="F2" s="50" t="s">
        <v>206</v>
      </c>
      <c r="G2" s="50" t="s">
        <v>207</v>
      </c>
      <c r="H2" s="50" t="s">
        <v>208</v>
      </c>
      <c r="I2" s="50" t="s">
        <v>209</v>
      </c>
    </row>
    <row r="3" spans="1:9" ht="60" x14ac:dyDescent="0.25">
      <c r="A3" s="37" t="s">
        <v>454</v>
      </c>
      <c r="B3" s="35" t="s">
        <v>453</v>
      </c>
      <c r="C3" s="38" t="s">
        <v>203</v>
      </c>
      <c r="D3" s="42" t="s">
        <v>364</v>
      </c>
      <c r="E3" s="42" t="s">
        <v>210</v>
      </c>
      <c r="F3" s="42" t="s">
        <v>211</v>
      </c>
      <c r="G3" s="42" t="s">
        <v>212</v>
      </c>
      <c r="H3" s="42" t="s">
        <v>327</v>
      </c>
      <c r="I3" s="42" t="s">
        <v>213</v>
      </c>
    </row>
    <row r="4" spans="1:9" ht="105" x14ac:dyDescent="0.25">
      <c r="A4" s="37" t="s">
        <v>214</v>
      </c>
      <c r="B4" s="36" t="s">
        <v>215</v>
      </c>
      <c r="C4" s="38" t="s">
        <v>203</v>
      </c>
      <c r="D4" s="42" t="s">
        <v>216</v>
      </c>
      <c r="E4" s="42" t="s">
        <v>217</v>
      </c>
      <c r="F4" s="42" t="s">
        <v>490</v>
      </c>
      <c r="G4" s="42" t="s">
        <v>218</v>
      </c>
      <c r="H4" s="42" t="s">
        <v>219</v>
      </c>
      <c r="I4" s="45"/>
    </row>
    <row r="5" spans="1:9" ht="75" x14ac:dyDescent="0.25">
      <c r="A5" s="37" t="s">
        <v>220</v>
      </c>
      <c r="B5" s="35" t="s">
        <v>333</v>
      </c>
      <c r="C5" s="38" t="s">
        <v>203</v>
      </c>
      <c r="D5" s="42" t="s">
        <v>221</v>
      </c>
      <c r="E5" s="42" t="s">
        <v>222</v>
      </c>
      <c r="F5" s="42" t="s">
        <v>223</v>
      </c>
      <c r="G5" s="42" t="s">
        <v>450</v>
      </c>
      <c r="H5" s="42" t="s">
        <v>326</v>
      </c>
      <c r="I5" s="45"/>
    </row>
    <row r="6" spans="1:9" ht="135" x14ac:dyDescent="0.25">
      <c r="A6" s="37" t="s">
        <v>224</v>
      </c>
      <c r="B6" s="36" t="s">
        <v>225</v>
      </c>
      <c r="C6" s="38" t="s">
        <v>203</v>
      </c>
      <c r="D6" s="42" t="s">
        <v>226</v>
      </c>
      <c r="E6" s="42" t="s">
        <v>227</v>
      </c>
      <c r="F6" s="42" t="s">
        <v>228</v>
      </c>
      <c r="G6" s="42" t="s">
        <v>451</v>
      </c>
      <c r="H6" s="42" t="s">
        <v>505</v>
      </c>
      <c r="I6" s="45"/>
    </row>
    <row r="7" spans="1:9" ht="60" x14ac:dyDescent="0.25">
      <c r="A7" s="37" t="s">
        <v>229</v>
      </c>
      <c r="B7" s="36" t="s">
        <v>230</v>
      </c>
      <c r="C7" s="38" t="s">
        <v>203</v>
      </c>
      <c r="D7" s="42" t="s">
        <v>496</v>
      </c>
      <c r="E7" s="42" t="s">
        <v>331</v>
      </c>
      <c r="F7" s="44" t="s">
        <v>366</v>
      </c>
      <c r="G7" s="42" t="s">
        <v>231</v>
      </c>
      <c r="H7" s="42"/>
      <c r="I7" s="45"/>
    </row>
    <row r="8" spans="1:9" ht="45" x14ac:dyDescent="0.25">
      <c r="A8" s="37" t="s">
        <v>232</v>
      </c>
      <c r="B8" s="35" t="s">
        <v>233</v>
      </c>
      <c r="C8" s="38" t="s">
        <v>203</v>
      </c>
      <c r="D8" s="42" t="s">
        <v>234</v>
      </c>
      <c r="E8" s="42" t="s">
        <v>332</v>
      </c>
      <c r="F8" s="42" t="s">
        <v>235</v>
      </c>
      <c r="G8" s="42"/>
      <c r="H8" s="42"/>
      <c r="I8" s="45"/>
    </row>
    <row r="9" spans="1:9" ht="150" x14ac:dyDescent="0.25">
      <c r="A9" s="37" t="s">
        <v>236</v>
      </c>
      <c r="B9" s="35" t="s">
        <v>237</v>
      </c>
      <c r="C9" s="38" t="s">
        <v>203</v>
      </c>
      <c r="D9" s="42" t="s">
        <v>238</v>
      </c>
      <c r="E9" s="42" t="s">
        <v>239</v>
      </c>
      <c r="F9" s="42" t="s">
        <v>240</v>
      </c>
      <c r="G9" s="42"/>
      <c r="H9" s="42"/>
      <c r="I9" s="45"/>
    </row>
    <row r="10" spans="1:9" ht="30" x14ac:dyDescent="0.25">
      <c r="A10" s="37" t="s">
        <v>241</v>
      </c>
      <c r="B10" s="35" t="s">
        <v>242</v>
      </c>
      <c r="C10" s="38" t="s">
        <v>203</v>
      </c>
      <c r="D10" s="42" t="s">
        <v>506</v>
      </c>
      <c r="E10" s="42" t="s">
        <v>243</v>
      </c>
      <c r="F10" s="42"/>
      <c r="G10" s="42"/>
      <c r="H10" s="42"/>
      <c r="I10" s="45"/>
    </row>
    <row r="11" spans="1:9" ht="90" x14ac:dyDescent="0.25">
      <c r="A11" s="37" t="s">
        <v>244</v>
      </c>
      <c r="B11" s="35" t="s">
        <v>504</v>
      </c>
      <c r="C11" s="38" t="s">
        <v>203</v>
      </c>
      <c r="D11" s="42"/>
      <c r="E11" s="42" t="s">
        <v>507</v>
      </c>
      <c r="F11" s="42"/>
      <c r="G11" s="42"/>
      <c r="H11" s="42"/>
      <c r="I11" s="45"/>
    </row>
    <row r="12" spans="1:9" ht="45" x14ac:dyDescent="0.25">
      <c r="A12" s="37" t="s">
        <v>245</v>
      </c>
      <c r="B12" s="35" t="s">
        <v>246</v>
      </c>
      <c r="C12" s="38" t="s">
        <v>203</v>
      </c>
      <c r="D12" s="42"/>
      <c r="E12" s="42" t="s">
        <v>247</v>
      </c>
      <c r="F12" s="44"/>
      <c r="G12" s="42"/>
      <c r="H12" s="42"/>
      <c r="I12" s="45"/>
    </row>
    <row r="13" spans="1:9" ht="30" x14ac:dyDescent="0.25">
      <c r="A13" s="37" t="s">
        <v>248</v>
      </c>
      <c r="B13" s="35" t="s">
        <v>249</v>
      </c>
      <c r="C13" s="38" t="s">
        <v>203</v>
      </c>
      <c r="D13" s="42"/>
      <c r="E13" s="42" t="s">
        <v>250</v>
      </c>
      <c r="F13" s="44"/>
      <c r="G13" s="42"/>
      <c r="H13" s="42"/>
      <c r="I13" s="45"/>
    </row>
    <row r="14" spans="1:9" ht="60" x14ac:dyDescent="0.25">
      <c r="A14" s="37" t="s">
        <v>251</v>
      </c>
      <c r="B14" s="35" t="s">
        <v>252</v>
      </c>
      <c r="C14" s="38" t="s">
        <v>253</v>
      </c>
      <c r="D14" s="42"/>
      <c r="E14" s="42" t="s">
        <v>254</v>
      </c>
      <c r="F14" s="44"/>
      <c r="G14" s="42"/>
      <c r="H14" s="42"/>
      <c r="I14" s="45"/>
    </row>
    <row r="15" spans="1:9" ht="60" x14ac:dyDescent="0.25">
      <c r="A15" s="37" t="s">
        <v>255</v>
      </c>
      <c r="B15" s="35" t="s">
        <v>256</v>
      </c>
      <c r="C15" s="38" t="s">
        <v>253</v>
      </c>
      <c r="D15" s="42"/>
      <c r="E15" s="42"/>
      <c r="F15" s="42"/>
      <c r="G15" s="42"/>
      <c r="H15" s="42"/>
      <c r="I15" s="45"/>
    </row>
    <row r="16" spans="1:9" ht="45" x14ac:dyDescent="0.25">
      <c r="A16" s="37" t="s">
        <v>257</v>
      </c>
      <c r="B16" s="35" t="s">
        <v>258</v>
      </c>
      <c r="C16" s="38" t="s">
        <v>253</v>
      </c>
      <c r="D16" s="42"/>
      <c r="E16" s="42"/>
      <c r="F16" s="42"/>
      <c r="G16" s="42"/>
      <c r="H16" s="42"/>
      <c r="I16" s="45"/>
    </row>
    <row r="17" spans="1:9" ht="75" x14ac:dyDescent="0.25">
      <c r="A17" s="37" t="s">
        <v>509</v>
      </c>
      <c r="B17" s="35" t="s">
        <v>511</v>
      </c>
      <c r="C17" s="38" t="s">
        <v>253</v>
      </c>
      <c r="D17" s="42"/>
      <c r="E17" s="42"/>
      <c r="F17" s="42"/>
      <c r="G17" s="42"/>
      <c r="H17" s="42"/>
      <c r="I17" s="45"/>
    </row>
    <row r="18" spans="1:9" ht="30" x14ac:dyDescent="0.25">
      <c r="A18" s="37" t="s">
        <v>259</v>
      </c>
      <c r="B18" s="35" t="s">
        <v>260</v>
      </c>
      <c r="C18" s="38" t="s">
        <v>261</v>
      </c>
      <c r="D18" s="42"/>
      <c r="E18" s="42"/>
      <c r="F18" s="42"/>
      <c r="G18" s="42"/>
      <c r="H18" s="42"/>
      <c r="I18" s="45"/>
    </row>
    <row r="19" spans="1:9" ht="75" x14ac:dyDescent="0.25">
      <c r="A19" s="37" t="s">
        <v>262</v>
      </c>
      <c r="B19" s="35" t="s">
        <v>263</v>
      </c>
      <c r="C19" s="38" t="s">
        <v>261</v>
      </c>
      <c r="D19" s="42"/>
      <c r="E19" s="42"/>
      <c r="F19" s="42"/>
      <c r="G19" s="42"/>
      <c r="H19" s="42"/>
      <c r="I19" s="45"/>
    </row>
    <row r="20" spans="1:9" ht="60" x14ac:dyDescent="0.25">
      <c r="A20" s="37" t="s">
        <v>264</v>
      </c>
      <c r="B20" s="35" t="s">
        <v>265</v>
      </c>
      <c r="C20" s="38" t="s">
        <v>261</v>
      </c>
      <c r="D20" s="42"/>
      <c r="E20" s="42"/>
      <c r="F20" s="42"/>
      <c r="G20" s="42"/>
      <c r="H20" s="42"/>
      <c r="I20" s="45"/>
    </row>
    <row r="21" spans="1:9" ht="60" x14ac:dyDescent="0.25">
      <c r="A21" s="37" t="s">
        <v>480</v>
      </c>
      <c r="B21" s="35" t="s">
        <v>481</v>
      </c>
      <c r="C21" s="38" t="s">
        <v>261</v>
      </c>
      <c r="D21" s="42"/>
      <c r="E21" s="42"/>
      <c r="F21" s="42"/>
      <c r="G21" s="42"/>
      <c r="H21" s="42"/>
      <c r="I21" s="45"/>
    </row>
    <row r="22" spans="1:9" ht="60" x14ac:dyDescent="0.25">
      <c r="A22" s="37" t="s">
        <v>251</v>
      </c>
      <c r="B22" s="35" t="s">
        <v>267</v>
      </c>
      <c r="C22" s="38" t="s">
        <v>261</v>
      </c>
      <c r="D22" s="42"/>
      <c r="E22" s="42"/>
      <c r="F22" s="42"/>
      <c r="G22" s="42"/>
      <c r="H22" s="42"/>
      <c r="I22" s="45"/>
    </row>
    <row r="23" spans="1:9" ht="60" x14ac:dyDescent="0.25">
      <c r="A23" s="37" t="s">
        <v>255</v>
      </c>
      <c r="B23" s="35" t="s">
        <v>268</v>
      </c>
      <c r="C23" s="38" t="s">
        <v>261</v>
      </c>
      <c r="D23" s="42"/>
      <c r="E23" s="42"/>
      <c r="F23" s="42"/>
      <c r="G23" s="42"/>
      <c r="H23" s="42"/>
      <c r="I23" s="45"/>
    </row>
    <row r="24" spans="1:9" ht="45.75" thickBot="1" x14ac:dyDescent="0.3">
      <c r="A24" s="39" t="s">
        <v>257</v>
      </c>
      <c r="B24" s="40" t="s">
        <v>269</v>
      </c>
      <c r="C24" s="41" t="s">
        <v>261</v>
      </c>
      <c r="D24" s="42"/>
      <c r="E24" s="42"/>
      <c r="F24" s="42"/>
      <c r="G24" s="42"/>
      <c r="H24" s="42"/>
      <c r="I24" s="45"/>
    </row>
    <row r="25" spans="1:9" ht="60.75" thickBot="1" x14ac:dyDescent="0.3">
      <c r="A25" s="39" t="s">
        <v>509</v>
      </c>
      <c r="B25" s="40" t="s">
        <v>510</v>
      </c>
      <c r="C25" s="41" t="s">
        <v>261</v>
      </c>
      <c r="D25" s="43"/>
      <c r="E25" s="43"/>
      <c r="F25" s="43"/>
      <c r="G25" s="43"/>
      <c r="H25" s="43"/>
      <c r="I25"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270</v>
      </c>
      <c r="C1" s="65" t="s">
        <v>271</v>
      </c>
      <c r="D1" s="64" t="s">
        <v>272</v>
      </c>
      <c r="E1" s="64" t="s">
        <v>273</v>
      </c>
      <c r="F1" s="64" t="s">
        <v>274</v>
      </c>
      <c r="G1" s="64" t="s">
        <v>275</v>
      </c>
      <c r="I1" t="s">
        <v>328</v>
      </c>
    </row>
    <row r="2" spans="1:9" x14ac:dyDescent="0.25">
      <c r="A2" s="74" t="s">
        <v>276</v>
      </c>
      <c r="B2" s="75" t="s">
        <v>119</v>
      </c>
      <c r="C2" s="68" t="s">
        <v>92</v>
      </c>
      <c r="D2" s="69" t="s">
        <v>99</v>
      </c>
      <c r="E2" s="69" t="s">
        <v>110</v>
      </c>
      <c r="F2" s="63" t="s">
        <v>133</v>
      </c>
      <c r="G2" s="69" t="s">
        <v>156</v>
      </c>
      <c r="I2" t="s">
        <v>329</v>
      </c>
    </row>
    <row r="3" spans="1:9" x14ac:dyDescent="0.25">
      <c r="A3" s="74" t="s">
        <v>277</v>
      </c>
      <c r="B3" s="76" t="s">
        <v>47</v>
      </c>
      <c r="C3" s="67" t="s">
        <v>52</v>
      </c>
      <c r="D3" s="66" t="s">
        <v>15</v>
      </c>
      <c r="E3" s="66" t="s">
        <v>128</v>
      </c>
      <c r="F3" s="63" t="s">
        <v>138</v>
      </c>
      <c r="G3" s="66" t="s">
        <v>169</v>
      </c>
      <c r="I3" t="s">
        <v>330</v>
      </c>
    </row>
    <row r="4" spans="1:9" x14ac:dyDescent="0.25">
      <c r="A4" s="74" t="s">
        <v>278</v>
      </c>
      <c r="B4" s="67" t="s">
        <v>85</v>
      </c>
      <c r="C4" s="67" t="s">
        <v>57</v>
      </c>
      <c r="D4" s="66" t="s">
        <v>152</v>
      </c>
      <c r="E4" s="66" t="s">
        <v>105</v>
      </c>
      <c r="F4" s="66" t="s">
        <v>144</v>
      </c>
      <c r="G4" s="66" t="s">
        <v>148</v>
      </c>
      <c r="I4" t="s">
        <v>478</v>
      </c>
    </row>
    <row r="5" spans="1:9" ht="15.75" thickBot="1" x14ac:dyDescent="0.3">
      <c r="A5" s="74" t="s">
        <v>279</v>
      </c>
      <c r="B5" s="73" t="s">
        <v>174</v>
      </c>
      <c r="C5" s="73" t="s">
        <v>80</v>
      </c>
      <c r="D5" s="70" t="s">
        <v>21</v>
      </c>
      <c r="E5" s="70" t="s">
        <v>75</v>
      </c>
      <c r="F5" s="70" t="s">
        <v>114</v>
      </c>
      <c r="G5" s="71" t="s">
        <v>27</v>
      </c>
      <c r="I5" t="s">
        <v>334</v>
      </c>
    </row>
    <row r="6" spans="1:9" ht="15.75" thickBot="1" x14ac:dyDescent="0.3">
      <c r="A6" s="97" t="s">
        <v>280</v>
      </c>
      <c r="B6" s="98" t="s">
        <v>135</v>
      </c>
      <c r="C6" s="99" t="s">
        <v>42</v>
      </c>
      <c r="D6" s="100" t="s">
        <v>94</v>
      </c>
      <c r="E6" s="101" t="s">
        <v>146</v>
      </c>
      <c r="F6" s="100" t="s">
        <v>81</v>
      </c>
      <c r="G6" s="102" t="s">
        <v>154</v>
      </c>
      <c r="I6" t="s">
        <v>335</v>
      </c>
    </row>
    <row r="7" spans="1:9" ht="15.75" thickBot="1" x14ac:dyDescent="0.3">
      <c r="A7" s="77" t="s">
        <v>281</v>
      </c>
      <c r="B7" s="77" t="s">
        <v>282</v>
      </c>
      <c r="C7" s="74" t="s">
        <v>385</v>
      </c>
      <c r="D7" t="s">
        <v>283</v>
      </c>
      <c r="E7" s="74" t="s">
        <v>284</v>
      </c>
      <c r="F7" t="s">
        <v>285</v>
      </c>
      <c r="G7" s="74" t="s">
        <v>201</v>
      </c>
      <c r="I7" t="s">
        <v>339</v>
      </c>
    </row>
    <row r="8" spans="1:9" x14ac:dyDescent="0.25">
      <c r="A8" s="95" t="s">
        <v>336</v>
      </c>
      <c r="B8" s="95" t="s">
        <v>273</v>
      </c>
      <c r="C8" s="91" t="s">
        <v>274</v>
      </c>
      <c r="D8" s="95" t="s">
        <v>275</v>
      </c>
      <c r="E8" s="91" t="s">
        <v>270</v>
      </c>
      <c r="F8" s="95" t="s">
        <v>271</v>
      </c>
      <c r="G8" s="92" t="s">
        <v>272</v>
      </c>
      <c r="I8" t="s">
        <v>340</v>
      </c>
    </row>
    <row r="9" spans="1:9" x14ac:dyDescent="0.25">
      <c r="A9" s="63" t="s">
        <v>337</v>
      </c>
      <c r="B9" s="63" t="s">
        <v>274</v>
      </c>
      <c r="C9" t="s">
        <v>272</v>
      </c>
      <c r="D9" s="63" t="s">
        <v>271</v>
      </c>
      <c r="E9" t="s">
        <v>275</v>
      </c>
      <c r="F9" s="63" t="s">
        <v>270</v>
      </c>
      <c r="G9" s="76" t="s">
        <v>273</v>
      </c>
    </row>
    <row r="10" spans="1:9" ht="15.75" thickBot="1" x14ac:dyDescent="0.3">
      <c r="A10" s="96" t="s">
        <v>338</v>
      </c>
      <c r="B10" s="96" t="s">
        <v>272</v>
      </c>
      <c r="C10" s="93" t="s">
        <v>275</v>
      </c>
      <c r="D10" s="96" t="s">
        <v>270</v>
      </c>
      <c r="E10" s="93" t="s">
        <v>274</v>
      </c>
      <c r="F10" s="96" t="s">
        <v>273</v>
      </c>
      <c r="G10" s="94" t="s">
        <v>271</v>
      </c>
    </row>
    <row r="12" spans="1:9" x14ac:dyDescent="0.25">
      <c r="A12" s="3" t="s">
        <v>368</v>
      </c>
    </row>
    <row r="13" spans="1:9" ht="45" x14ac:dyDescent="0.25">
      <c r="A13" s="3" t="s">
        <v>369</v>
      </c>
      <c r="B13" s="2" t="s">
        <v>387</v>
      </c>
      <c r="C13" s="2" t="s">
        <v>388</v>
      </c>
      <c r="D13" s="2"/>
      <c r="E13" s="2" t="s">
        <v>389</v>
      </c>
      <c r="F13" s="2" t="s">
        <v>390</v>
      </c>
      <c r="G13" s="2" t="s">
        <v>391</v>
      </c>
    </row>
    <row r="14" spans="1:9" ht="30" x14ac:dyDescent="0.25">
      <c r="A14" s="3"/>
      <c r="B14" s="2" t="s">
        <v>378</v>
      </c>
      <c r="C14" s="2" t="s">
        <v>378</v>
      </c>
      <c r="D14" s="2" t="s">
        <v>378</v>
      </c>
      <c r="E14" s="2" t="s">
        <v>378</v>
      </c>
      <c r="F14" s="2" t="s">
        <v>378</v>
      </c>
      <c r="G14" s="2" t="s">
        <v>378</v>
      </c>
    </row>
    <row r="15" spans="1:9" ht="45" x14ac:dyDescent="0.25">
      <c r="A15" s="3"/>
      <c r="B15" s="2" t="s">
        <v>379</v>
      </c>
      <c r="C15" s="2" t="s">
        <v>379</v>
      </c>
      <c r="D15" s="2" t="s">
        <v>379</v>
      </c>
      <c r="E15" s="2" t="s">
        <v>379</v>
      </c>
      <c r="F15" s="2" t="s">
        <v>379</v>
      </c>
      <c r="G15" s="2" t="s">
        <v>379</v>
      </c>
    </row>
    <row r="16" spans="1:9" ht="30" x14ac:dyDescent="0.25">
      <c r="A16" s="3"/>
      <c r="B16" s="2" t="s">
        <v>370</v>
      </c>
      <c r="C16" s="2" t="s">
        <v>370</v>
      </c>
      <c r="D16" s="2" t="s">
        <v>370</v>
      </c>
      <c r="E16" s="2" t="s">
        <v>370</v>
      </c>
      <c r="F16" s="2" t="s">
        <v>370</v>
      </c>
      <c r="G16" s="2" t="s">
        <v>370</v>
      </c>
    </row>
    <row r="17" spans="1:9" ht="30" x14ac:dyDescent="0.25">
      <c r="A17" s="3"/>
      <c r="B17" s="2" t="s">
        <v>376</v>
      </c>
      <c r="C17" s="2" t="s">
        <v>376</v>
      </c>
      <c r="D17" s="2" t="s">
        <v>376</v>
      </c>
      <c r="E17" s="2" t="s">
        <v>376</v>
      </c>
      <c r="F17" s="2" t="s">
        <v>376</v>
      </c>
      <c r="G17" s="2" t="s">
        <v>376</v>
      </c>
    </row>
    <row r="18" spans="1:9" ht="60" x14ac:dyDescent="0.25">
      <c r="A18" s="3"/>
      <c r="B18" s="2" t="s">
        <v>374</v>
      </c>
      <c r="C18" s="2" t="s">
        <v>374</v>
      </c>
      <c r="D18" s="2" t="s">
        <v>374</v>
      </c>
      <c r="E18" s="2" t="s">
        <v>374</v>
      </c>
      <c r="F18" s="2" t="s">
        <v>374</v>
      </c>
      <c r="G18" s="2" t="s">
        <v>374</v>
      </c>
    </row>
    <row r="19" spans="1:9" ht="45" x14ac:dyDescent="0.25">
      <c r="A19" s="3"/>
      <c r="B19" s="2" t="s">
        <v>375</v>
      </c>
      <c r="C19" s="2" t="s">
        <v>375</v>
      </c>
      <c r="D19" s="2" t="s">
        <v>375</v>
      </c>
      <c r="E19" s="2" t="s">
        <v>375</v>
      </c>
      <c r="F19" s="2" t="s">
        <v>375</v>
      </c>
      <c r="G19" s="2" t="s">
        <v>375</v>
      </c>
    </row>
    <row r="20" spans="1:9" ht="105" x14ac:dyDescent="0.25">
      <c r="A20" s="3"/>
      <c r="B20" s="2" t="s">
        <v>382</v>
      </c>
      <c r="C20" s="2" t="s">
        <v>383</v>
      </c>
      <c r="D20" s="2" t="s">
        <v>377</v>
      </c>
      <c r="E20" s="2" t="s">
        <v>372</v>
      </c>
      <c r="F20" s="2" t="s">
        <v>371</v>
      </c>
      <c r="G20" s="2" t="s">
        <v>386</v>
      </c>
    </row>
    <row r="21" spans="1:9" ht="90" x14ac:dyDescent="0.25">
      <c r="A21" s="3"/>
      <c r="B21" s="2" t="s">
        <v>381</v>
      </c>
      <c r="C21" s="2" t="s">
        <v>392</v>
      </c>
      <c r="D21" s="2" t="s">
        <v>380</v>
      </c>
      <c r="E21" s="2" t="s">
        <v>384</v>
      </c>
      <c r="F21" s="2" t="s">
        <v>373</v>
      </c>
    </row>
    <row r="22" spans="1:9" ht="90" x14ac:dyDescent="0.25">
      <c r="A22" s="3" t="s">
        <v>393</v>
      </c>
      <c r="B22" s="2" t="s">
        <v>394</v>
      </c>
      <c r="C22" s="2"/>
      <c r="D22" s="2" t="s">
        <v>395</v>
      </c>
      <c r="E22" s="2"/>
      <c r="F22" s="2"/>
      <c r="G22" s="2"/>
    </row>
    <row r="23" spans="1:9" ht="225" x14ac:dyDescent="0.25">
      <c r="A23" s="3" t="s">
        <v>396</v>
      </c>
      <c r="B23" s="2" t="s">
        <v>402</v>
      </c>
      <c r="C23" s="2" t="s">
        <v>400</v>
      </c>
      <c r="D23" s="2" t="s">
        <v>403</v>
      </c>
      <c r="E23" s="2" t="s">
        <v>401</v>
      </c>
      <c r="F23" s="2" t="s">
        <v>404</v>
      </c>
      <c r="G23" s="2" t="s">
        <v>405</v>
      </c>
    </row>
    <row r="24" spans="1:9" ht="255" x14ac:dyDescent="0.25">
      <c r="A24" s="3"/>
      <c r="B24" s="2" t="s">
        <v>406</v>
      </c>
      <c r="C24" s="2" t="s">
        <v>412</v>
      </c>
      <c r="D24" s="2" t="s">
        <v>407</v>
      </c>
      <c r="E24" s="2" t="s">
        <v>408</v>
      </c>
      <c r="F24" s="2" t="s">
        <v>409</v>
      </c>
      <c r="G24" s="2" t="s">
        <v>413</v>
      </c>
    </row>
    <row r="25" spans="1:9" ht="345" x14ac:dyDescent="0.25">
      <c r="A25" s="3"/>
      <c r="B25" s="2" t="s">
        <v>410</v>
      </c>
      <c r="C25" s="2" t="s">
        <v>411</v>
      </c>
      <c r="D25" s="2" t="s">
        <v>414</v>
      </c>
      <c r="E25" s="2" t="s">
        <v>415</v>
      </c>
      <c r="F25" s="2" t="s">
        <v>443</v>
      </c>
      <c r="G25" s="2" t="s">
        <v>342</v>
      </c>
    </row>
    <row r="26" spans="1:9" ht="105" x14ac:dyDescent="0.25">
      <c r="A26" s="3"/>
      <c r="B26" s="2" t="s">
        <v>416</v>
      </c>
      <c r="C26" s="2" t="s">
        <v>417</v>
      </c>
      <c r="D26" s="2" t="s">
        <v>418</v>
      </c>
      <c r="E26" s="2" t="s">
        <v>419</v>
      </c>
      <c r="F26" s="2" t="s">
        <v>419</v>
      </c>
      <c r="G26" s="2" t="s">
        <v>420</v>
      </c>
    </row>
    <row r="27" spans="1:9" ht="255" x14ac:dyDescent="0.25">
      <c r="A27" s="3" t="s">
        <v>399</v>
      </c>
      <c r="B27" s="2" t="s">
        <v>423</v>
      </c>
      <c r="C27" s="2" t="s">
        <v>426</v>
      </c>
      <c r="D27" s="2" t="s">
        <v>421</v>
      </c>
      <c r="E27" s="2" t="s">
        <v>428</v>
      </c>
      <c r="F27" s="2" t="s">
        <v>422</v>
      </c>
      <c r="G27" s="2" t="s">
        <v>424</v>
      </c>
    </row>
    <row r="28" spans="1:9" ht="195" x14ac:dyDescent="0.25">
      <c r="A28" s="3"/>
      <c r="B28" s="2"/>
      <c r="C28" s="2"/>
      <c r="D28" s="2" t="s">
        <v>425</v>
      </c>
      <c r="E28" s="2" t="s">
        <v>429</v>
      </c>
      <c r="F28" s="2" t="s">
        <v>427</v>
      </c>
      <c r="G28" s="2"/>
    </row>
    <row r="29" spans="1:9" ht="120" x14ac:dyDescent="0.25">
      <c r="A29" s="3" t="s">
        <v>430</v>
      </c>
      <c r="B29" s="2" t="s">
        <v>433</v>
      </c>
      <c r="C29" s="2" t="s">
        <v>431</v>
      </c>
      <c r="D29" s="2" t="s">
        <v>433</v>
      </c>
      <c r="E29" s="2" t="s">
        <v>433</v>
      </c>
      <c r="F29" s="2" t="s">
        <v>433</v>
      </c>
      <c r="G29" s="2" t="s">
        <v>432</v>
      </c>
    </row>
    <row r="30" spans="1:9" ht="30" x14ac:dyDescent="0.25">
      <c r="A30" s="3" t="s">
        <v>397</v>
      </c>
      <c r="B30" s="2" t="s">
        <v>229</v>
      </c>
      <c r="C30" s="2" t="s">
        <v>347</v>
      </c>
      <c r="D30" s="2" t="s">
        <v>342</v>
      </c>
      <c r="E30" s="2" t="s">
        <v>345</v>
      </c>
      <c r="F30" s="2" t="s">
        <v>346</v>
      </c>
      <c r="G30" s="2" t="s">
        <v>264</v>
      </c>
      <c r="I30" t="s">
        <v>351</v>
      </c>
    </row>
    <row r="31" spans="1:9" x14ac:dyDescent="0.25">
      <c r="A31" s="3"/>
      <c r="B31" s="2" t="s">
        <v>241</v>
      </c>
      <c r="C31" s="2" t="s">
        <v>245</v>
      </c>
      <c r="D31" s="2" t="s">
        <v>352</v>
      </c>
      <c r="E31" s="2" t="s">
        <v>348</v>
      </c>
      <c r="F31" s="2" t="s">
        <v>241</v>
      </c>
      <c r="G31" s="2" t="s">
        <v>343</v>
      </c>
    </row>
    <row r="32" spans="1:9" x14ac:dyDescent="0.25">
      <c r="A32" s="3"/>
      <c r="B32" s="2" t="s">
        <v>341</v>
      </c>
      <c r="C32" s="2" t="s">
        <v>349</v>
      </c>
      <c r="D32" s="2" t="s">
        <v>350</v>
      </c>
      <c r="E32" s="2" t="s">
        <v>353</v>
      </c>
      <c r="F32" s="2" t="s">
        <v>342</v>
      </c>
      <c r="G32" s="2" t="s">
        <v>357</v>
      </c>
    </row>
    <row r="33" spans="1:9" x14ac:dyDescent="0.25">
      <c r="A33" s="3"/>
      <c r="B33" s="2" t="s">
        <v>353</v>
      </c>
      <c r="C33" s="2" t="s">
        <v>341</v>
      </c>
      <c r="D33" s="2" t="s">
        <v>202</v>
      </c>
      <c r="E33" s="2" t="s">
        <v>341</v>
      </c>
      <c r="F33" s="2" t="s">
        <v>354</v>
      </c>
      <c r="G33" s="2" t="s">
        <v>342</v>
      </c>
    </row>
    <row r="34" spans="1:9" x14ac:dyDescent="0.25">
      <c r="A34" s="3"/>
      <c r="B34" s="2"/>
      <c r="D34" s="2" t="s">
        <v>367</v>
      </c>
      <c r="E34" s="2"/>
      <c r="F34" s="2"/>
      <c r="G34" s="2"/>
    </row>
    <row r="35" spans="1:9" x14ac:dyDescent="0.25">
      <c r="A35" s="3"/>
      <c r="B35" s="2"/>
      <c r="D35" s="2"/>
      <c r="E35" s="2"/>
      <c r="F35" s="2"/>
      <c r="G35" s="2"/>
    </row>
    <row r="36" spans="1:9" x14ac:dyDescent="0.25">
      <c r="A36" s="3" t="s">
        <v>399</v>
      </c>
      <c r="B36" s="2" t="s">
        <v>361</v>
      </c>
      <c r="C36" s="2" t="s">
        <v>264</v>
      </c>
      <c r="D36" s="2" t="s">
        <v>236</v>
      </c>
      <c r="E36" s="2"/>
      <c r="F36" s="2"/>
      <c r="G36" s="2"/>
    </row>
    <row r="37" spans="1:9" ht="30" x14ac:dyDescent="0.25">
      <c r="A37" s="3" t="s">
        <v>398</v>
      </c>
      <c r="B37" s="2" t="s">
        <v>245</v>
      </c>
      <c r="C37" s="2" t="s">
        <v>241</v>
      </c>
      <c r="D37" s="2" t="s">
        <v>361</v>
      </c>
      <c r="E37" s="2" t="s">
        <v>355</v>
      </c>
      <c r="F37" s="2" t="s">
        <v>356</v>
      </c>
      <c r="G37" s="2" t="s">
        <v>344</v>
      </c>
      <c r="I37" t="s">
        <v>351</v>
      </c>
    </row>
    <row r="38" spans="1:9" x14ac:dyDescent="0.25">
      <c r="A38" s="3"/>
      <c r="B38" s="2" t="s">
        <v>248</v>
      </c>
      <c r="C38" s="2" t="s">
        <v>245</v>
      </c>
      <c r="D38" s="2" t="s">
        <v>245</v>
      </c>
      <c r="E38" s="2" t="s">
        <v>245</v>
      </c>
      <c r="F38" s="2" t="s">
        <v>444</v>
      </c>
      <c r="G38" s="2" t="s">
        <v>365</v>
      </c>
      <c r="I38" t="s">
        <v>360</v>
      </c>
    </row>
    <row r="39" spans="1:9" x14ac:dyDescent="0.25">
      <c r="A39" s="3"/>
      <c r="B39" s="3"/>
      <c r="C39" s="2" t="s">
        <v>359</v>
      </c>
      <c r="D39" s="2" t="s">
        <v>248</v>
      </c>
      <c r="E39" s="2" t="s">
        <v>445</v>
      </c>
      <c r="F39" s="2" t="s">
        <v>245</v>
      </c>
      <c r="G39" s="2" t="s">
        <v>358</v>
      </c>
      <c r="I39" t="s">
        <v>362</v>
      </c>
    </row>
    <row r="40" spans="1:9" x14ac:dyDescent="0.25">
      <c r="A40" s="3"/>
      <c r="B40" s="2"/>
      <c r="D40" s="2"/>
      <c r="E40" s="2" t="s">
        <v>361</v>
      </c>
      <c r="F40" s="2" t="s">
        <v>361</v>
      </c>
      <c r="G40" s="2"/>
      <c r="I40" t="s">
        <v>363</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342</v>
      </c>
      <c r="C47" s="2" t="s">
        <v>434</v>
      </c>
      <c r="D47" s="2" t="s">
        <v>341</v>
      </c>
      <c r="E47" s="2" t="s">
        <v>264</v>
      </c>
      <c r="F47" s="2" t="s">
        <v>435</v>
      </c>
      <c r="G47" s="2" t="s">
        <v>241</v>
      </c>
    </row>
    <row r="48" spans="1:9" ht="30" x14ac:dyDescent="0.25">
      <c r="B48" s="2" t="s">
        <v>341</v>
      </c>
      <c r="C48" s="2" t="s">
        <v>436</v>
      </c>
      <c r="D48" s="2" t="s">
        <v>266</v>
      </c>
      <c r="E48" s="2" t="s">
        <v>341</v>
      </c>
      <c r="F48" s="2" t="s">
        <v>232</v>
      </c>
      <c r="G48" s="2" t="s">
        <v>437</v>
      </c>
    </row>
    <row r="49" spans="2:7" ht="30" x14ac:dyDescent="0.25">
      <c r="B49" s="2" t="s">
        <v>438</v>
      </c>
      <c r="C49" s="2" t="s">
        <v>229</v>
      </c>
      <c r="D49" s="2" t="s">
        <v>343</v>
      </c>
      <c r="E49" s="2" t="s">
        <v>439</v>
      </c>
      <c r="F49" s="2" t="s">
        <v>446</v>
      </c>
      <c r="G49" s="2" t="s">
        <v>342</v>
      </c>
    </row>
    <row r="50" spans="2:7" ht="30" x14ac:dyDescent="0.25">
      <c r="B50" s="2" t="s">
        <v>440</v>
      </c>
      <c r="C50" s="2"/>
      <c r="D50" s="2" t="s">
        <v>224</v>
      </c>
      <c r="E50" s="2" t="s">
        <v>241</v>
      </c>
      <c r="F50" s="2" t="s">
        <v>241</v>
      </c>
      <c r="G50" s="2"/>
    </row>
    <row r="52" spans="2:7" ht="30" x14ac:dyDescent="0.25">
      <c r="B52" s="2" t="s">
        <v>229</v>
      </c>
      <c r="C52" s="2" t="s">
        <v>347</v>
      </c>
      <c r="D52" s="2" t="s">
        <v>342</v>
      </c>
      <c r="E52" s="2" t="s">
        <v>345</v>
      </c>
      <c r="F52" s="2" t="s">
        <v>346</v>
      </c>
      <c r="G52" s="2" t="s">
        <v>264</v>
      </c>
    </row>
    <row r="53" spans="2:7" x14ac:dyDescent="0.25">
      <c r="B53" s="2" t="s">
        <v>241</v>
      </c>
      <c r="C53" s="2" t="s">
        <v>349</v>
      </c>
      <c r="D53" s="2" t="s">
        <v>352</v>
      </c>
      <c r="E53" s="2" t="s">
        <v>348</v>
      </c>
      <c r="F53" s="2" t="s">
        <v>241</v>
      </c>
      <c r="G53" s="2" t="s">
        <v>343</v>
      </c>
    </row>
    <row r="54" spans="2:7" x14ac:dyDescent="0.25">
      <c r="B54" s="2" t="s">
        <v>341</v>
      </c>
      <c r="C54" s="2" t="s">
        <v>341</v>
      </c>
      <c r="D54" s="2" t="s">
        <v>350</v>
      </c>
      <c r="E54" s="2" t="s">
        <v>353</v>
      </c>
      <c r="F54" s="2" t="s">
        <v>342</v>
      </c>
      <c r="G54" s="2" t="s">
        <v>357</v>
      </c>
    </row>
    <row r="55" spans="2:7" x14ac:dyDescent="0.25">
      <c r="B55" s="2" t="s">
        <v>353</v>
      </c>
      <c r="C55" s="2" t="s">
        <v>245</v>
      </c>
      <c r="D55" s="2" t="s">
        <v>202</v>
      </c>
      <c r="E55" s="2" t="s">
        <v>341</v>
      </c>
      <c r="F55" s="2" t="s">
        <v>354</v>
      </c>
      <c r="G55" s="2" t="s">
        <v>342</v>
      </c>
    </row>
    <row r="56" spans="2:7" x14ac:dyDescent="0.25">
      <c r="B56" s="2"/>
      <c r="C56" s="2"/>
      <c r="D56" s="2" t="s">
        <v>367</v>
      </c>
      <c r="E56" s="2"/>
      <c r="F56" s="2"/>
      <c r="G56" s="2"/>
    </row>
    <row r="57" spans="2:7" x14ac:dyDescent="0.25">
      <c r="B57" s="2"/>
      <c r="C57" s="2"/>
      <c r="D57" s="2"/>
      <c r="E57" s="2"/>
      <c r="F57" s="2"/>
      <c r="G57" s="2"/>
    </row>
    <row r="58" spans="2:7" ht="30" x14ac:dyDescent="0.25">
      <c r="B58" s="2" t="s">
        <v>361</v>
      </c>
      <c r="C58" s="2" t="s">
        <v>361</v>
      </c>
      <c r="D58" s="2" t="s">
        <v>236</v>
      </c>
      <c r="E58" s="2" t="s">
        <v>355</v>
      </c>
      <c r="F58" s="2" t="s">
        <v>356</v>
      </c>
      <c r="G58" s="2" t="s">
        <v>344</v>
      </c>
    </row>
    <row r="59" spans="2:7" x14ac:dyDescent="0.25">
      <c r="B59" s="2" t="s">
        <v>245</v>
      </c>
      <c r="C59" s="2" t="s">
        <v>264</v>
      </c>
      <c r="D59" s="2" t="s">
        <v>361</v>
      </c>
      <c r="E59" s="2" t="s">
        <v>245</v>
      </c>
      <c r="F59" s="2" t="s">
        <v>444</v>
      </c>
      <c r="G59" s="2" t="s">
        <v>365</v>
      </c>
    </row>
    <row r="60" spans="2:7" x14ac:dyDescent="0.25">
      <c r="B60" s="2" t="s">
        <v>248</v>
      </c>
      <c r="C60" s="2" t="s">
        <v>241</v>
      </c>
      <c r="D60" s="2" t="s">
        <v>245</v>
      </c>
      <c r="E60" s="2" t="s">
        <v>445</v>
      </c>
      <c r="F60" s="2" t="s">
        <v>245</v>
      </c>
      <c r="G60" s="2" t="s">
        <v>358</v>
      </c>
    </row>
    <row r="61" spans="2:7" x14ac:dyDescent="0.25">
      <c r="B61" s="3"/>
      <c r="C61" s="2" t="s">
        <v>359</v>
      </c>
      <c r="D61" s="2" t="s">
        <v>248</v>
      </c>
      <c r="E61" s="2" t="s">
        <v>361</v>
      </c>
      <c r="F61" s="2" t="s">
        <v>361</v>
      </c>
      <c r="G61" s="2" t="s">
        <v>245</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workbookViewId="0">
      <selection activeCell="C4" sqref="C4"/>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241</v>
      </c>
      <c r="B1" s="32" t="s">
        <v>232</v>
      </c>
      <c r="C1" s="33" t="s">
        <v>236</v>
      </c>
      <c r="D1" s="32" t="s">
        <v>202</v>
      </c>
      <c r="E1" s="109" t="s">
        <v>203</v>
      </c>
    </row>
    <row r="2" spans="1:5" ht="99.95" customHeight="1" thickBot="1" x14ac:dyDescent="0.6">
      <c r="A2" s="31" t="s">
        <v>214</v>
      </c>
      <c r="B2" s="31" t="s">
        <v>220</v>
      </c>
      <c r="C2" s="27" t="s">
        <v>224</v>
      </c>
      <c r="D2" s="31" t="s">
        <v>229</v>
      </c>
      <c r="E2" s="110"/>
    </row>
    <row r="3" spans="1:5" ht="99.95" customHeight="1" thickBot="1" x14ac:dyDescent="0.6">
      <c r="A3" s="30" t="s">
        <v>245</v>
      </c>
      <c r="B3" s="30" t="s">
        <v>248</v>
      </c>
      <c r="C3" s="29" t="s">
        <v>454</v>
      </c>
      <c r="D3" s="30" t="s">
        <v>244</v>
      </c>
      <c r="E3" s="110"/>
    </row>
    <row r="4" spans="1:5" ht="99.95" customHeight="1" thickBot="1" x14ac:dyDescent="0.6">
      <c r="A4" s="34" t="s">
        <v>251</v>
      </c>
      <c r="B4" s="34" t="s">
        <v>255</v>
      </c>
      <c r="C4" s="61" t="s">
        <v>257</v>
      </c>
      <c r="D4" s="34"/>
      <c r="E4" s="62" t="s">
        <v>253</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F11" sqref="F11"/>
    </sheetView>
  </sheetViews>
  <sheetFormatPr defaultRowHeight="15" x14ac:dyDescent="0.25"/>
  <cols>
    <col min="1" max="4" width="30.7109375" customWidth="1"/>
    <col min="5" max="5" width="5.140625" bestFit="1" customWidth="1"/>
  </cols>
  <sheetData>
    <row r="1" spans="1:5" ht="99.95" customHeight="1" thickBot="1" x14ac:dyDescent="0.3">
      <c r="A1" s="28" t="s">
        <v>259</v>
      </c>
      <c r="B1" s="30" t="s">
        <v>262</v>
      </c>
      <c r="C1" s="29" t="s">
        <v>480</v>
      </c>
      <c r="D1" s="30" t="s">
        <v>264</v>
      </c>
      <c r="E1" s="111" t="s">
        <v>261</v>
      </c>
    </row>
    <row r="2" spans="1:5" ht="99.95" customHeight="1" thickBot="1" x14ac:dyDescent="0.3">
      <c r="A2" s="56" t="s">
        <v>251</v>
      </c>
      <c r="B2" s="32" t="s">
        <v>255</v>
      </c>
      <c r="C2" s="33" t="s">
        <v>257</v>
      </c>
      <c r="D2" s="55"/>
      <c r="E2" s="112"/>
    </row>
    <row r="3" spans="1:5" ht="99.95" customHeight="1" thickBot="1" x14ac:dyDescent="0.3">
      <c r="A3" s="57" t="s">
        <v>286</v>
      </c>
      <c r="B3" s="113" t="s">
        <v>287</v>
      </c>
      <c r="C3" s="114"/>
      <c r="D3" s="114"/>
      <c r="E3" s="115"/>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8" t="s">
        <v>288</v>
      </c>
      <c r="C2" s="119"/>
      <c r="D2" s="119"/>
      <c r="E2" s="119"/>
      <c r="F2" s="119"/>
      <c r="G2" s="119"/>
      <c r="H2" s="119"/>
      <c r="I2" s="119"/>
      <c r="J2" s="119"/>
      <c r="K2" s="119"/>
      <c r="L2" s="119"/>
      <c r="M2" s="119"/>
      <c r="N2" s="60">
        <v>14</v>
      </c>
    </row>
    <row r="3" spans="1:14" ht="39.75" customHeight="1" thickBot="1" x14ac:dyDescent="0.3">
      <c r="A3" s="60">
        <v>38</v>
      </c>
      <c r="B3" s="120"/>
      <c r="C3" s="121"/>
      <c r="D3" s="121"/>
      <c r="E3" s="121"/>
      <c r="F3" s="121"/>
      <c r="G3" s="121"/>
      <c r="H3" s="121"/>
      <c r="I3" s="121"/>
      <c r="J3" s="121"/>
      <c r="K3" s="121"/>
      <c r="L3" s="121"/>
      <c r="M3" s="121"/>
      <c r="N3" s="60">
        <v>15</v>
      </c>
    </row>
    <row r="4" spans="1:14" ht="39.75" customHeight="1" thickBot="1" x14ac:dyDescent="0.3">
      <c r="A4" s="60">
        <v>37</v>
      </c>
      <c r="B4" s="116" t="s">
        <v>289</v>
      </c>
      <c r="C4" s="117"/>
      <c r="D4" s="117"/>
      <c r="E4" s="117"/>
      <c r="F4" s="117"/>
      <c r="G4" s="117"/>
      <c r="H4" s="117"/>
      <c r="I4" s="117"/>
      <c r="J4" s="117"/>
      <c r="K4" s="117"/>
      <c r="L4" s="117"/>
      <c r="M4" s="117"/>
      <c r="N4" s="60">
        <v>16</v>
      </c>
    </row>
    <row r="5" spans="1:14" ht="39.75" customHeight="1" thickBot="1" x14ac:dyDescent="0.3">
      <c r="A5" s="60">
        <v>36</v>
      </c>
      <c r="B5" s="122" t="s">
        <v>290</v>
      </c>
      <c r="C5" s="123"/>
      <c r="D5" s="126" t="s">
        <v>290</v>
      </c>
      <c r="E5" s="127"/>
      <c r="F5" s="126" t="s">
        <v>290</v>
      </c>
      <c r="G5" s="127"/>
      <c r="H5" s="126" t="s">
        <v>290</v>
      </c>
      <c r="I5" s="127"/>
      <c r="J5" s="126" t="s">
        <v>290</v>
      </c>
      <c r="K5" s="127"/>
      <c r="L5" s="126" t="s">
        <v>290</v>
      </c>
      <c r="M5" s="130"/>
      <c r="N5" s="60">
        <v>17</v>
      </c>
    </row>
    <row r="6" spans="1:14" ht="39.75" customHeight="1" thickBot="1" x14ac:dyDescent="0.3">
      <c r="A6" s="60">
        <v>35</v>
      </c>
      <c r="B6" s="122"/>
      <c r="C6" s="123"/>
      <c r="D6" s="122"/>
      <c r="E6" s="128"/>
      <c r="F6" s="122"/>
      <c r="G6" s="128"/>
      <c r="H6" s="122"/>
      <c r="I6" s="128"/>
      <c r="J6" s="122"/>
      <c r="K6" s="128"/>
      <c r="L6" s="122"/>
      <c r="M6" s="123"/>
      <c r="N6" s="60">
        <v>18</v>
      </c>
    </row>
    <row r="7" spans="1:14" ht="39.75" customHeight="1" thickBot="1" x14ac:dyDescent="0.3">
      <c r="A7" s="60">
        <v>34</v>
      </c>
      <c r="B7" s="124"/>
      <c r="C7" s="125"/>
      <c r="D7" s="124"/>
      <c r="E7" s="129"/>
      <c r="F7" s="124"/>
      <c r="G7" s="129"/>
      <c r="H7" s="124"/>
      <c r="I7" s="129"/>
      <c r="J7" s="124"/>
      <c r="K7" s="129"/>
      <c r="L7" s="124"/>
      <c r="M7" s="125"/>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I6"/>
  <sheetViews>
    <sheetView topLeftCell="AA1" zoomScaleNormal="60" zoomScaleSheetLayoutView="100" workbookViewId="0">
      <selection activeCell="F14" sqref="F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s>
  <sheetData>
    <row r="1" spans="1:6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 t="shared" ref="AJ1:AS2" si="0">A1</f>
        <v>Fillibuster</v>
      </c>
      <c r="AK1" s="80" t="str">
        <f t="shared" si="0"/>
        <v>Skillful Orators</v>
      </c>
      <c r="AL1" s="78" t="str">
        <f t="shared" si="0"/>
        <v>Collection Stations</v>
      </c>
      <c r="AM1" s="80" t="str">
        <f t="shared" si="0"/>
        <v>Brown Nose</v>
      </c>
      <c r="AN1" s="78" t="str">
        <f t="shared" si="0"/>
        <v>Mysterious Windfalls</v>
      </c>
      <c r="AO1" s="80" t="str">
        <f t="shared" si="0"/>
        <v>Lobbyists</v>
      </c>
      <c r="AP1" s="78" t="str">
        <f t="shared" si="0"/>
        <v>Eager Youth</v>
      </c>
      <c r="AQ1" s="80" t="str">
        <f t="shared" si="0"/>
        <v>Honorable Cause</v>
      </c>
      <c r="AR1" s="78" t="str">
        <f t="shared" si="0"/>
        <v>Loyal Citizenry</v>
      </c>
      <c r="AS1" s="80" t="str">
        <f t="shared" si="0"/>
        <v>Silvertounge</v>
      </c>
      <c r="AT1" s="78" t="str">
        <f t="shared" ref="AT1:BC2" si="1">K1</f>
        <v>Royal Bribes</v>
      </c>
      <c r="AU1" s="80" t="str">
        <f t="shared" si="1"/>
        <v>Courtroom Gambling</v>
      </c>
      <c r="AV1" s="78" t="str">
        <f t="shared" si="1"/>
        <v>Market Niche</v>
      </c>
      <c r="AW1" s="80" t="str">
        <f t="shared" si="1"/>
        <v>Genius Commanders</v>
      </c>
      <c r="AX1" s="81" t="str">
        <f t="shared" si="1"/>
        <v>Damage Redemption</v>
      </c>
      <c r="AY1" s="78" t="str">
        <f t="shared" si="1"/>
        <v>Undeniable Advisors</v>
      </c>
      <c r="AZ1" s="80" t="str">
        <f t="shared" si="1"/>
        <v>Heavy Overtime</v>
      </c>
      <c r="BA1" s="78" t="str">
        <f t="shared" si="1"/>
        <v>Bulk Purchaser</v>
      </c>
      <c r="BB1" s="80" t="str">
        <f t="shared" si="1"/>
        <v>Valuable Cargo</v>
      </c>
      <c r="BC1" s="78" t="str">
        <f t="shared" si="1"/>
        <v>Elite Troops</v>
      </c>
      <c r="BD1" s="80" t="str">
        <f t="shared" ref="BD1:BI2" si="2">U1</f>
        <v>Bazaar</v>
      </c>
      <c r="BE1" s="78" t="str">
        <f t="shared" si="2"/>
        <v>Caravansaray</v>
      </c>
      <c r="BF1" s="80" t="str">
        <f t="shared" si="2"/>
        <v>War Machines</v>
      </c>
      <c r="BG1" s="78" t="str">
        <f t="shared" si="2"/>
        <v>Mock Trials</v>
      </c>
      <c r="BH1" s="81" t="str">
        <f t="shared" si="2"/>
        <v>Desperate Attorneys</v>
      </c>
      <c r="BI1" s="78" t="str">
        <f t="shared" si="2"/>
        <v>Eager Laborers</v>
      </c>
    </row>
    <row r="2" spans="1:6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You may repeat Court Actions with level 7 - $L6 Leaders</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 t="shared" si="0"/>
        <v>Move the deliberated Law $L6 additional places back in the queue during Postpone</v>
      </c>
      <c r="AK2" s="103" t="str">
        <f t="shared" si="0"/>
        <v>Move the Law $L6 additional places forward in the queue during Prioritize</v>
      </c>
      <c r="AL2" s="104" t="str">
        <f t="shared" si="0"/>
        <v xml:space="preserve">You may gain up to $L6 additional Coins when Taxing other Players </v>
      </c>
      <c r="AM2" s="103" t="str">
        <f t="shared" si="0"/>
        <v>Gain $L3 additional Coins during Flatter</v>
      </c>
      <c r="AN2" s="104" t="str">
        <f t="shared" si="0"/>
        <v>Gain $L3 more Commodities per Coin when Buying from the Undermarket</v>
      </c>
      <c r="AO2" s="103" t="str">
        <f t="shared" si="0"/>
        <v>Add $L3 additional Law cards to the bottom of the queue during Petition</v>
      </c>
      <c r="AP2" s="104" t="str">
        <f t="shared" si="0"/>
        <v>Gain 1 additional Troop for free after Recruiting every 4 - $L3 Troops</v>
      </c>
      <c r="AQ2" s="103" t="str">
        <f t="shared" si="0"/>
        <v>Gain 1 additional Spy for free after Infiltrating every 4 - $L3 Spies</v>
      </c>
      <c r="AR2" s="104" t="str">
        <f t="shared" si="0"/>
        <v>Purchase up to $L6 additional Troops during Recruit</v>
      </c>
      <c r="AS2" s="103" t="str">
        <f t="shared" si="0"/>
        <v>Purchase up to $L6 additional Spies during Infiltrate (at normal cost)</v>
      </c>
      <c r="AT2" s="104" t="str">
        <f t="shared" si="1"/>
        <v>Gain $L3 more Commodities per Coin when Buying from the Court</v>
      </c>
      <c r="AU2" s="103" t="str">
        <f t="shared" si="1"/>
        <v>Gain $L3 additional Coins from outside the Royal Bank when winning a Sue</v>
      </c>
      <c r="AV2" s="104" t="str">
        <f t="shared" si="1"/>
        <v>Spend $L3 fewer Cards per Coin when Monetizing in the Undermarket</v>
      </c>
      <c r="AW2" s="103" t="str">
        <f t="shared" si="1"/>
        <v>Draw $L6 additional cards from any decks during Brainstorm</v>
      </c>
      <c r="AX2" s="105" t="str">
        <f t="shared" si="1"/>
        <v>Purchase $L3 Spies (at normal cost) when targeted by a Scheme</v>
      </c>
      <c r="AY2" s="104" t="str">
        <f t="shared" si="1"/>
        <v>You may repeat Court Actions with level 7 - $L6 Leaders</v>
      </c>
      <c r="AZ2" s="103" t="str">
        <f t="shared" si="1"/>
        <v>You may repeat $L3 Provincial Actions per round</v>
      </c>
      <c r="BA2" s="104" t="str">
        <f t="shared" si="1"/>
        <v>Trade up to $L3 additional Coins when Buying from the Court</v>
      </c>
      <c r="BB2" s="103" t="str">
        <f t="shared" si="1"/>
        <v>Trade for up to $L3 additional Coins when Selling to the Court</v>
      </c>
      <c r="BC2" s="104" t="str">
        <f t="shared" si="1"/>
        <v>Gain $L3 additional Coins from the Royal Bank when Deploying Troops</v>
      </c>
      <c r="BD2" s="103" t="str">
        <f t="shared" si="2"/>
        <v>Provides private Buy Action at Market Rate + $L3</v>
      </c>
      <c r="BE2" s="104" t="str">
        <f t="shared" si="2"/>
        <v>Provides private Sell Action at Market Rate - $L3</v>
      </c>
      <c r="BF2" s="103" t="str">
        <f t="shared" si="2"/>
        <v>Purchase and immediately add up to $L3 Troops to your force when deploying them</v>
      </c>
      <c r="BG2" s="104" t="str">
        <f t="shared" si="2"/>
        <v>Add $L3 Hits to each Roll during a Sue</v>
      </c>
      <c r="BH2" s="105" t="str">
        <f t="shared" si="2"/>
        <v>Add $L6 additional dice to each Roll during a Sue</v>
      </c>
      <c r="BI2" s="104" t="str">
        <f t="shared" si="2"/>
        <v>Collect $L6 additional Commodities during Harvests</v>
      </c>
    </row>
    <row r="3" spans="1:6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 t="shared" ref="AE3:BH3" si="3">A3</f>
        <v>Full Coffers</v>
      </c>
      <c r="AF3" s="78" t="str">
        <f t="shared" si="3"/>
        <v xml:space="preserve">Decentralized Wealth </v>
      </c>
      <c r="AG3" s="80" t="str">
        <f t="shared" si="3"/>
        <v>Second Thoughts</v>
      </c>
      <c r="AH3" s="78" t="str">
        <f t="shared" si="3"/>
        <v>Changing Times</v>
      </c>
      <c r="AI3" s="80" t="str">
        <f t="shared" si="3"/>
        <v>Stable Economies</v>
      </c>
      <c r="AJ3" s="78" t="str">
        <f t="shared" si="3"/>
        <v>Unreasonable Distractions</v>
      </c>
      <c r="AK3" s="80" t="str">
        <f t="shared" si="3"/>
        <v>Irregular Partiality</v>
      </c>
      <c r="AL3" s="78" t="str">
        <f t="shared" si="3"/>
        <v>Royal Amendment</v>
      </c>
      <c r="AM3" s="80" t="str">
        <f t="shared" si="3"/>
        <v>Honorable Accontability</v>
      </c>
      <c r="AN3" s="78" t="str">
        <f t="shared" si="3"/>
        <v>Frivolous Pursuits</v>
      </c>
      <c r="AO3" s="80" t="str">
        <f t="shared" si="3"/>
        <v>Economic Backbone</v>
      </c>
      <c r="AP3" s="78" t="str">
        <f t="shared" si="3"/>
        <v>Collective Ownership</v>
      </c>
      <c r="AQ3" s="80" t="str">
        <f t="shared" si="3"/>
        <v>Aggressive Tactics</v>
      </c>
      <c r="AR3" s="78" t="str">
        <f t="shared" si="3"/>
        <v>Home Defense</v>
      </c>
      <c r="AS3" s="80" t="str">
        <f t="shared" si="3"/>
        <v>Valuable Advisors</v>
      </c>
      <c r="AT3" s="78" t="str">
        <f t="shared" si="3"/>
        <v>Chattering Windbags</v>
      </c>
      <c r="AU3" s="80" t="str">
        <f t="shared" si="3"/>
        <v>Realistic Priorities</v>
      </c>
      <c r="AV3" s="78" t="str">
        <f t="shared" si="3"/>
        <v>Threat to the Throne</v>
      </c>
      <c r="AW3" s="80" t="str">
        <f t="shared" si="3"/>
        <v>Stone Foundations</v>
      </c>
      <c r="AX3" s="81" t="str">
        <f t="shared" si="3"/>
        <v>Environmental Guardians</v>
      </c>
      <c r="AY3" s="78" t="str">
        <f t="shared" si="3"/>
        <v>Resilient Officer Corps</v>
      </c>
      <c r="AZ3" s="80" t="str">
        <f t="shared" si="3"/>
        <v>Bloated Bureaucracy</v>
      </c>
      <c r="BA3" s="78" t="str">
        <f t="shared" si="3"/>
        <v>Police Force</v>
      </c>
      <c r="BB3" s="80" t="str">
        <f t="shared" si="3"/>
        <v>Equal Partners</v>
      </c>
      <c r="BC3" s="78" t="str">
        <f t="shared" si="3"/>
        <v>Criminal Identification</v>
      </c>
      <c r="BD3" s="80" t="str">
        <f t="shared" si="3"/>
        <v>Honorable Marketplace</v>
      </c>
      <c r="BE3" s="78" t="str">
        <f t="shared" si="3"/>
        <v>Engaged Empire</v>
      </c>
      <c r="BF3" s="80" t="str">
        <f t="shared" si="3"/>
        <v>Suspicious Advisors</v>
      </c>
      <c r="BG3" s="78" t="str">
        <f t="shared" si="3"/>
        <v>Contingency Plans</v>
      </c>
      <c r="BH3" s="81" t="str">
        <f t="shared" si="3"/>
        <v>Worthless Procrastinators</v>
      </c>
      <c r="BI3" s="78"/>
    </row>
    <row r="4" spans="1:6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$L3 Players must use Undermarket Actions or all Players suffer sanctions on Prioritize</v>
      </c>
      <c r="Z4" s="83" t="str">
        <f>Cards!E27</f>
        <v>No more than $L3 Players may use Undermarket Actions or all Players suffer sanctions on Prioritize</v>
      </c>
      <c r="AA4" s="85" t="str">
        <f>Cards!E28</f>
        <v>At least $L3 Players must use Court Actions or all Players suffer sanctions on Flatter</v>
      </c>
      <c r="AB4" s="83" t="str">
        <f>Cards!E29</f>
        <v>No more than $L3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 t="shared" ref="AE4" si="4">A4</f>
        <v>The Royal Bank must have at least $L6 Coins or all Players suffer sanctions on Undermarket Actions</v>
      </c>
      <c r="AF4" s="83" t="str">
        <f t="shared" ref="AF4" si="5">B4</f>
        <v>The Royal Bank may not have more than $L6 Coins or all Players suffer sanctions on Undermarket Actions</v>
      </c>
      <c r="AG4" s="85" t="str">
        <f t="shared" ref="AG4" si="6">C4</f>
        <v>Change the boundary of an active Law to $L6</v>
      </c>
      <c r="AH4" s="83" t="str">
        <f t="shared" ref="AH4" si="7">D4</f>
        <v>Change the boundary of an active Law to $L6</v>
      </c>
      <c r="AI4" s="85" t="str">
        <f t="shared" ref="AI4" si="8">E4</f>
        <v>Each Player must have at least 3 + $L6 Investments or they will suffer sanctions on Promote &amp; Commission</v>
      </c>
      <c r="AJ4" s="83" t="str">
        <f t="shared" ref="AJ4" si="9">F4</f>
        <v>No Player may have more than 3 + $L6 Investments or they will suffer sanctions on Promote &amp; Commission</v>
      </c>
      <c r="AK4" s="85" t="str">
        <f t="shared" ref="AK4" si="10">G4</f>
        <v>Change the boundary of an active Law to $L6</v>
      </c>
      <c r="AL4" s="83" t="str">
        <f t="shared" ref="AL4" si="11">H4</f>
        <v>Change the boundary of an active Law to $L6</v>
      </c>
      <c r="AM4" s="85" t="str">
        <f t="shared" ref="AM4" si="12">I4</f>
        <v>Each Player must Sue using a Leader with at least level $L6 this round or they will suffer sanctions on Deploy Troops</v>
      </c>
      <c r="AN4" s="83" t="str">
        <f t="shared" ref="AN4" si="13">J4</f>
        <v>No Player may Sue using a Leader higher than level $L6 this round or they will suffer sanctions on Deploy Troops</v>
      </c>
      <c r="AO4" s="85" t="str">
        <f t="shared" ref="AO4" si="14">K4</f>
        <v>Each Player must have an Investment with at least level $L6 or they will suffer sanctions on Infiltrate</v>
      </c>
      <c r="AP4" s="83" t="str">
        <f t="shared" ref="AP4" si="15">L4</f>
        <v>No Player may have an Investment higher than level $L6 or they will suffer sanctions on Infiltrate</v>
      </c>
      <c r="AQ4" s="85" t="str">
        <f t="shared" ref="AQ4" si="16">M4</f>
        <v>Each Player must deploy at least $L6 Troops or they will suffer sanctions on Petition &amp; Postpone</v>
      </c>
      <c r="AR4" s="83" t="str">
        <f t="shared" ref="AR4" si="17">N4</f>
        <v>No Player may deploy more than $L6 Troops or they will suffer sanctions on Petition &amp; Postpone</v>
      </c>
      <c r="AS4" s="85" t="str">
        <f t="shared" ref="AS4" si="18">O4</f>
        <v>Each Player must have at least $L6 sponsored Laws active or in the queue or they will suffer sanctions on Tax</v>
      </c>
      <c r="AT4" s="83" t="str">
        <f t="shared" ref="AT4" si="19">P4</f>
        <v>No Player may have more than $L6 sponsored Laws active or in the queue or they will suffer sanctions on Tax</v>
      </c>
      <c r="AU4" s="85" t="str">
        <f t="shared" ref="AU4" si="20">Q4</f>
        <v>Each Player must have a Leader with at least level $L6 or they will suffer sanctions on Sue</v>
      </c>
      <c r="AV4" s="83" t="str">
        <f t="shared" ref="AV4" si="21">R4</f>
        <v>No Player may have a Leader higher than level $L6 or they will suffer sanctions on Sue</v>
      </c>
      <c r="AW4" s="85" t="str">
        <f t="shared" ref="AW4" si="22">S4</f>
        <v>Each Player must Harvest at least $L6 Commodities this round or they will suffer sanctions on Recruit</v>
      </c>
      <c r="AX4" s="86" t="str">
        <f t="shared" ref="AX4" si="23">T4</f>
        <v>No Player may Harvest more than $L6 Commodities this round or they will suffer sanctions on Recruit</v>
      </c>
      <c r="AY4" s="83" t="str">
        <f t="shared" ref="AY4" si="24">U4</f>
        <v>Each Player must have at least 3 + $L6 Leaders or they will suffer sanctions on Build &amp; Upgrade</v>
      </c>
      <c r="AZ4" s="85" t="str">
        <f t="shared" ref="AZ4" si="25">V4</f>
        <v>No Player may have more than $L6 Leaders or they will suffer sanctions on Build &amp; Upgrade</v>
      </c>
      <c r="BA4" s="83" t="str">
        <f t="shared" ref="BA4" si="26">W4</f>
        <v>Each Player must have at least $L6 Troops or they will suffer sanctions on Harvest</v>
      </c>
      <c r="BB4" s="85" t="str">
        <f t="shared" ref="BB4" si="27">X4</f>
        <v>No Player may have more than $L6 Troops or they will suffer sanctions on Harvest</v>
      </c>
      <c r="BC4" s="83" t="str">
        <f t="shared" ref="BC4" si="28">Y4</f>
        <v>At least $L3 Players must use Undermarket Actions or all Players suffer sanctions on Prioritize</v>
      </c>
      <c r="BD4" s="85" t="str">
        <f t="shared" ref="BD4" si="29">Z4</f>
        <v>No more than $L3 Players may use Undermarket Actions or all Players suffer sanctions on Prioritize</v>
      </c>
      <c r="BE4" s="83" t="str">
        <f t="shared" ref="BE4" si="30">AA4</f>
        <v>At least $L3 Players must use Court Actions or all Players suffer sanctions on Flatter</v>
      </c>
      <c r="BF4" s="85" t="str">
        <f t="shared" ref="BF4" si="31">AB4</f>
        <v>No more than $L3 Players may use Court Actions or all Players suffer sanctions on Flatter</v>
      </c>
      <c r="BG4" s="83" t="str">
        <f t="shared" ref="BG4" si="32">AC4</f>
        <v>Each Player must have at least $L6 Cards in hand or they will suffer sanctions on Monetize</v>
      </c>
      <c r="BH4" s="86" t="str">
        <f t="shared" ref="BH4" si="33">AD4</f>
        <v>No Player may have more than $L6 Cards in their hand or they will suffer sanctions on Monetize</v>
      </c>
      <c r="BI4" s="83"/>
    </row>
    <row r="5" spans="1:6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Intimidate</v>
      </c>
      <c r="P5" s="87" t="str">
        <f>Cards!F17</f>
        <v>Humiliate</v>
      </c>
      <c r="Q5" s="89" t="str">
        <f>Cards!F18</f>
        <v>Backroom Deal</v>
      </c>
      <c r="R5" s="87" t="str">
        <f t="shared" ref="R5:AH5" si="34">A5</f>
        <v>Fickle Mercenaries</v>
      </c>
      <c r="S5" s="89" t="str">
        <f t="shared" si="34"/>
        <v>Blatant Thievery</v>
      </c>
      <c r="T5" s="87" t="str">
        <f t="shared" si="34"/>
        <v>Double Agents</v>
      </c>
      <c r="U5" s="89" t="str">
        <f t="shared" si="34"/>
        <v>Questionable Reallocation</v>
      </c>
      <c r="V5" s="87" t="str">
        <f t="shared" si="34"/>
        <v>Blackmail</v>
      </c>
      <c r="W5" s="89" t="str">
        <f t="shared" si="34"/>
        <v>Invalid Paperwork</v>
      </c>
      <c r="X5" s="87" t="str">
        <f t="shared" si="34"/>
        <v>Insider Trading</v>
      </c>
      <c r="Y5" s="89" t="str">
        <f t="shared" si="34"/>
        <v>Whispers of the People</v>
      </c>
      <c r="Z5" s="87" t="str">
        <f t="shared" si="34"/>
        <v>Dangerous Monopolies</v>
      </c>
      <c r="AA5" s="89" t="str">
        <f t="shared" si="34"/>
        <v>Corporate Takeover</v>
      </c>
      <c r="AB5" s="87" t="str">
        <f t="shared" si="34"/>
        <v>Sabotage</v>
      </c>
      <c r="AC5" s="89" t="str">
        <f t="shared" si="34"/>
        <v>Poor Management</v>
      </c>
      <c r="AD5" s="90" t="str">
        <f t="shared" si="34"/>
        <v>Assassination</v>
      </c>
      <c r="AE5" s="87" t="str">
        <f t="shared" si="34"/>
        <v>Betrayal</v>
      </c>
      <c r="AF5" s="87" t="str">
        <f t="shared" si="34"/>
        <v>Intimidate</v>
      </c>
      <c r="AG5" s="89" t="str">
        <f t="shared" si="34"/>
        <v>Humiliate</v>
      </c>
      <c r="AH5" s="87" t="str">
        <f t="shared" si="34"/>
        <v>Backroom Deal</v>
      </c>
      <c r="AI5" s="89" t="str">
        <f t="shared" ref="AI5:AY5" si="35">A5</f>
        <v>Fickle Mercenaries</v>
      </c>
      <c r="AJ5" s="87" t="str">
        <f t="shared" si="35"/>
        <v>Blatant Thievery</v>
      </c>
      <c r="AK5" s="89" t="str">
        <f t="shared" si="35"/>
        <v>Double Agents</v>
      </c>
      <c r="AL5" s="87" t="str">
        <f t="shared" si="35"/>
        <v>Questionable Reallocation</v>
      </c>
      <c r="AM5" s="89" t="str">
        <f t="shared" si="35"/>
        <v>Blackmail</v>
      </c>
      <c r="AN5" s="87" t="str">
        <f t="shared" si="35"/>
        <v>Invalid Paperwork</v>
      </c>
      <c r="AO5" s="89" t="str">
        <f t="shared" si="35"/>
        <v>Insider Trading</v>
      </c>
      <c r="AP5" s="87" t="str">
        <f t="shared" si="35"/>
        <v>Whispers of the People</v>
      </c>
      <c r="AQ5" s="89" t="str">
        <f t="shared" si="35"/>
        <v>Dangerous Monopolies</v>
      </c>
      <c r="AR5" s="87" t="str">
        <f t="shared" si="35"/>
        <v>Corporate Takeover</v>
      </c>
      <c r="AS5" s="89" t="str">
        <f t="shared" si="35"/>
        <v>Sabotage</v>
      </c>
      <c r="AT5" s="87" t="str">
        <f t="shared" si="35"/>
        <v>Poor Management</v>
      </c>
      <c r="AU5" s="89" t="str">
        <f t="shared" si="35"/>
        <v>Assassination</v>
      </c>
      <c r="AV5" s="87" t="str">
        <f t="shared" si="35"/>
        <v>Betrayal</v>
      </c>
      <c r="AW5" s="89" t="str">
        <f t="shared" si="35"/>
        <v>Intimidate</v>
      </c>
      <c r="AX5" s="90" t="str">
        <f t="shared" si="35"/>
        <v>Humiliate</v>
      </c>
      <c r="AY5" s="87" t="str">
        <f t="shared" si="35"/>
        <v>Backroom Deal</v>
      </c>
      <c r="BA5" s="87" t="str">
        <f t="shared" ref="BA5:BI6" si="36">AA1</f>
        <v>Wary Guards</v>
      </c>
      <c r="BB5" s="89" t="str">
        <f t="shared" si="36"/>
        <v>Information Security</v>
      </c>
      <c r="BC5" s="87" t="str">
        <f t="shared" si="36"/>
        <v>Blood Pact</v>
      </c>
      <c r="BD5" s="89" t="str">
        <f t="shared" si="36"/>
        <v>Expert Broker</v>
      </c>
      <c r="BE5" s="87" t="str">
        <f t="shared" si="36"/>
        <v>Codependent Relationship</v>
      </c>
      <c r="BF5" s="89" t="str">
        <f t="shared" si="36"/>
        <v>Dangerous Promises</v>
      </c>
      <c r="BG5" s="87" t="str">
        <f t="shared" si="36"/>
        <v>Large Middle Class</v>
      </c>
      <c r="BH5" s="87" t="str">
        <f t="shared" si="36"/>
        <v>Innovation Hub</v>
      </c>
      <c r="BI5" s="87" t="str">
        <f t="shared" si="36"/>
        <v>Fire Temple</v>
      </c>
    </row>
    <row r="6" spans="1:61" s="85" customFormat="1" ht="102" customHeight="1" thickBot="1" x14ac:dyDescent="0.3">
      <c r="A6" s="83" t="str">
        <f>Cards!G2</f>
        <v>Give $D6 Troops to Player $R</v>
      </c>
      <c r="B6" s="84" t="str">
        <f>Cards!G3</f>
        <v>Give $D6 Coins to Player $R</v>
      </c>
      <c r="C6" s="85" t="str">
        <f>Cards!G4</f>
        <v>Give $D6 Spies to Player $R</v>
      </c>
      <c r="D6" s="83" t="str">
        <f>Cards!G5</f>
        <v>Give $D6 Commodities to Player $R</v>
      </c>
      <c r="E6" s="85" t="str">
        <f>Cards!G6</f>
        <v>Give the King's Favor to Player $R</v>
      </c>
      <c r="F6" s="83" t="str">
        <f>Cards!G7</f>
        <v>Player $R may peek at the Law card at the top of the queue &amp; put it on the bottom of the queue if they want</v>
      </c>
      <c r="G6" s="85" t="str">
        <f>Cards!G8</f>
        <v>Give $D6 random Cards from your hand to Player $R</v>
      </c>
      <c r="H6" s="83" t="str">
        <f>Cards!G9</f>
        <v>Rearrange $D3 Law cards from the top of the queue</v>
      </c>
      <c r="I6" s="85" t="str">
        <f>Cards!G10</f>
        <v>Destroy an Investment at level $D6</v>
      </c>
      <c r="J6" s="83" t="str">
        <f>Cards!G11</f>
        <v>Send an Investment at level $D6 to Player $R</v>
      </c>
      <c r="K6" s="85" t="str">
        <f>Cards!G12</f>
        <v>Downgrade an Investment at level $D6</v>
      </c>
      <c r="L6" s="83" t="str">
        <f>Cards!G13</f>
        <v>Downgrade an Investment at level $D6</v>
      </c>
      <c r="M6" s="85" t="str">
        <f>Cards!G14</f>
        <v>Kill a Leader at level $D6</v>
      </c>
      <c r="N6" s="83" t="str">
        <f>Cards!G15</f>
        <v>Send a Leader at level $D6 to Player $R</v>
      </c>
      <c r="O6" s="85" t="str">
        <f>Cards!G16</f>
        <v>Demote a Leader at level $D6</v>
      </c>
      <c r="P6" s="83" t="str">
        <f>Cards!G17</f>
        <v>Demote a Leader at level $D6</v>
      </c>
      <c r="Q6" s="85" t="str">
        <f>Cards!G18</f>
        <v>Exchange a random held Alliance Token, or one of your own if you hold none, with one of the choice of Player $R</v>
      </c>
      <c r="R6" s="83" t="str">
        <f t="shared" ref="R6:AH6" si="37">A6</f>
        <v>Give $D6 Troops to Player $R</v>
      </c>
      <c r="S6" s="85" t="str">
        <f t="shared" si="37"/>
        <v>Give $D6 Coins to Player $R</v>
      </c>
      <c r="T6" s="83" t="str">
        <f t="shared" si="37"/>
        <v>Give $D6 Spies to Player $R</v>
      </c>
      <c r="U6" s="85" t="str">
        <f t="shared" si="37"/>
        <v>Give $D6 Commodities to Player $R</v>
      </c>
      <c r="V6" s="83" t="str">
        <f t="shared" si="37"/>
        <v>Give the King's Favor to Player $R</v>
      </c>
      <c r="W6" s="85" t="str">
        <f t="shared" si="37"/>
        <v>Player $R may peek at the Law card at the top of the queue &amp; put it on the bottom of the queue if they want</v>
      </c>
      <c r="X6" s="83" t="str">
        <f t="shared" si="37"/>
        <v>Give $D6 random Cards from your hand to Player $R</v>
      </c>
      <c r="Y6" s="85" t="str">
        <f t="shared" si="37"/>
        <v>Rearrange $D3 Law cards from the top of the queue</v>
      </c>
      <c r="Z6" s="83" t="str">
        <f t="shared" si="37"/>
        <v>Destroy an Investment at level $D6</v>
      </c>
      <c r="AA6" s="85" t="str">
        <f t="shared" si="37"/>
        <v>Send an Investment at level $D6 to Player $R</v>
      </c>
      <c r="AB6" s="83" t="str">
        <f t="shared" si="37"/>
        <v>Downgrade an Investment at level $D6</v>
      </c>
      <c r="AC6" s="85" t="str">
        <f t="shared" si="37"/>
        <v>Downgrade an Investment at level $D6</v>
      </c>
      <c r="AD6" s="86" t="str">
        <f t="shared" si="37"/>
        <v>Kill a Leader at level $D6</v>
      </c>
      <c r="AE6" s="83" t="str">
        <f t="shared" si="37"/>
        <v>Send a Leader at level $D6 to Player $R</v>
      </c>
      <c r="AF6" s="83" t="str">
        <f t="shared" si="37"/>
        <v>Demote a Leader at level $D6</v>
      </c>
      <c r="AG6" s="85" t="str">
        <f t="shared" si="37"/>
        <v>Demote a Leader at level $D6</v>
      </c>
      <c r="AH6" s="83" t="str">
        <f t="shared" si="37"/>
        <v>Exchange a random held Alliance Token, or one of your own if you hold none, with one of the choice of Player $R</v>
      </c>
      <c r="AI6" s="85" t="str">
        <f t="shared" ref="AI6:AY6" si="38">A6</f>
        <v>Give $D6 Troops to Player $R</v>
      </c>
      <c r="AJ6" s="83" t="str">
        <f t="shared" si="38"/>
        <v>Give $D6 Coins to Player $R</v>
      </c>
      <c r="AK6" s="85" t="str">
        <f t="shared" si="38"/>
        <v>Give $D6 Spies to Player $R</v>
      </c>
      <c r="AL6" s="83" t="str">
        <f t="shared" si="38"/>
        <v>Give $D6 Commodities to Player $R</v>
      </c>
      <c r="AM6" s="85" t="str">
        <f t="shared" si="38"/>
        <v>Give the King's Favor to Player $R</v>
      </c>
      <c r="AN6" s="83" t="str">
        <f t="shared" si="38"/>
        <v>Player $R may peek at the Law card at the top of the queue &amp; put it on the bottom of the queue if they want</v>
      </c>
      <c r="AO6" s="85" t="str">
        <f t="shared" si="38"/>
        <v>Give $D6 random Cards from your hand to Player $R</v>
      </c>
      <c r="AP6" s="83" t="str">
        <f t="shared" si="38"/>
        <v>Rearrange $D3 Law cards from the top of the queue</v>
      </c>
      <c r="AQ6" s="85" t="str">
        <f t="shared" si="38"/>
        <v>Destroy an Investment at level $D6</v>
      </c>
      <c r="AR6" s="83" t="str">
        <f t="shared" si="38"/>
        <v>Send an Investment at level $D6 to Player $R</v>
      </c>
      <c r="AS6" s="85" t="str">
        <f t="shared" si="38"/>
        <v>Downgrade an Investment at level $D6</v>
      </c>
      <c r="AT6" s="83" t="str">
        <f t="shared" si="38"/>
        <v>Downgrade an Investment at level $D6</v>
      </c>
      <c r="AU6" s="85" t="str">
        <f t="shared" si="38"/>
        <v>Kill a Leader at level $D6</v>
      </c>
      <c r="AV6" s="83" t="str">
        <f t="shared" si="38"/>
        <v>Send a Leader at level $D6 to Player $R</v>
      </c>
      <c r="AW6" s="85" t="str">
        <f t="shared" si="38"/>
        <v>Demote a Leader at level $D6</v>
      </c>
      <c r="AX6" s="86" t="str">
        <f t="shared" si="38"/>
        <v>Demote a Leader at level $D6</v>
      </c>
      <c r="AY6" s="83" t="str">
        <f t="shared" si="38"/>
        <v>Exchange a random held Alliance Token, or one of your own if you hold none, with one of the choice of Player $R</v>
      </c>
      <c r="BA6" s="83" t="str">
        <f t="shared" si="36"/>
        <v>Subtract $L3 from Scheme Guard rolls</v>
      </c>
      <c r="BB6" s="85" t="str">
        <f t="shared" si="36"/>
        <v>Subtract $L3 from Scheme Card rolls</v>
      </c>
      <c r="BC6" s="83" t="str">
        <f t="shared" si="36"/>
        <v>Spend $L3 fewer Commodities per Coin when Selling to the Undermarket</v>
      </c>
      <c r="BD6" s="85" t="str">
        <f t="shared" si="36"/>
        <v>Spend $L3 fewer Commodities per Coin when Selling to the Court</v>
      </c>
      <c r="BE6" s="83" t="str">
        <f t="shared" si="36"/>
        <v>Trade up to $L3 additional Coins when Buying from the Undermarket</v>
      </c>
      <c r="BF6" s="85" t="str">
        <f t="shared" si="36"/>
        <v>Trade for up to $L3 additional Coins when Selling to the Undermarket</v>
      </c>
      <c r="BG6" s="83" t="str">
        <f t="shared" si="36"/>
        <v>Trade for up to $L3 additional Coins when Monetizing in the Undermarket</v>
      </c>
      <c r="BH6" s="83" t="str">
        <f t="shared" si="36"/>
        <v>Provides private Monetize Action at Market Rate + $L3</v>
      </c>
      <c r="BI6" s="83" t="str">
        <f t="shared" si="36"/>
        <v>Spend $L3 fewer Cards per Coin when Monetizing in the Court</v>
      </c>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312</v>
      </c>
      <c r="C1" t="s">
        <v>313</v>
      </c>
      <c r="D1" t="s">
        <v>314</v>
      </c>
      <c r="E1" t="s">
        <v>315</v>
      </c>
      <c r="F1" t="s">
        <v>316</v>
      </c>
    </row>
    <row r="2" spans="1:6" x14ac:dyDescent="0.25">
      <c r="A2" t="s">
        <v>293</v>
      </c>
      <c r="B2">
        <f>30*2</f>
        <v>60</v>
      </c>
      <c r="C2" t="s">
        <v>317</v>
      </c>
      <c r="D2">
        <v>27.7</v>
      </c>
    </row>
    <row r="3" spans="1:6" x14ac:dyDescent="0.25">
      <c r="A3" t="s">
        <v>294</v>
      </c>
      <c r="B3">
        <f>34*2</f>
        <v>68</v>
      </c>
      <c r="C3" t="s">
        <v>317</v>
      </c>
      <c r="D3">
        <v>27.7</v>
      </c>
    </row>
    <row r="4" spans="1:6" x14ac:dyDescent="0.25">
      <c r="A4" t="s">
        <v>295</v>
      </c>
      <c r="B4">
        <f>18*3</f>
        <v>54</v>
      </c>
      <c r="C4" t="s">
        <v>317</v>
      </c>
      <c r="D4">
        <v>30.75</v>
      </c>
    </row>
    <row r="5" spans="1:6" x14ac:dyDescent="0.25">
      <c r="A5" t="s">
        <v>296</v>
      </c>
      <c r="B5">
        <f>2*6+6*6</f>
        <v>48</v>
      </c>
      <c r="C5" t="s">
        <v>320</v>
      </c>
    </row>
    <row r="6" spans="1:6" x14ac:dyDescent="0.25">
      <c r="A6" t="s">
        <v>308</v>
      </c>
      <c r="B6">
        <f>1*6+10*6</f>
        <v>66</v>
      </c>
      <c r="C6" t="s">
        <v>318</v>
      </c>
      <c r="E6" t="s">
        <v>319</v>
      </c>
    </row>
    <row r="7" spans="1:6" x14ac:dyDescent="0.25">
      <c r="A7" t="s">
        <v>297</v>
      </c>
      <c r="B7">
        <f>10*6+10</f>
        <v>70</v>
      </c>
      <c r="C7" t="s">
        <v>318</v>
      </c>
      <c r="E7" t="s">
        <v>323</v>
      </c>
    </row>
    <row r="8" spans="1:6" x14ac:dyDescent="0.25">
      <c r="A8" t="s">
        <v>298</v>
      </c>
      <c r="B8">
        <f>2*8*6</f>
        <v>96</v>
      </c>
      <c r="C8" t="s">
        <v>318</v>
      </c>
      <c r="E8" t="s">
        <v>323</v>
      </c>
    </row>
    <row r="9" spans="1:6" x14ac:dyDescent="0.25">
      <c r="A9" t="s">
        <v>299</v>
      </c>
      <c r="B9">
        <f>5*6</f>
        <v>30</v>
      </c>
      <c r="C9" t="s">
        <v>318</v>
      </c>
    </row>
    <row r="10" spans="1:6" x14ac:dyDescent="0.25">
      <c r="A10" t="s">
        <v>300</v>
      </c>
      <c r="B10">
        <f>5*6</f>
        <v>30</v>
      </c>
      <c r="C10" t="s">
        <v>318</v>
      </c>
      <c r="E10" t="s">
        <v>319</v>
      </c>
    </row>
    <row r="11" spans="1:6" x14ac:dyDescent="0.25">
      <c r="A11" t="s">
        <v>301</v>
      </c>
      <c r="B11">
        <f>(30*6-B10)/5</f>
        <v>30</v>
      </c>
      <c r="C11" t="s">
        <v>318</v>
      </c>
      <c r="E11" t="s">
        <v>319</v>
      </c>
    </row>
    <row r="12" spans="1:6" x14ac:dyDescent="0.25">
      <c r="A12" t="s">
        <v>302</v>
      </c>
      <c r="B12">
        <f>5*6</f>
        <v>30</v>
      </c>
      <c r="C12" t="s">
        <v>318</v>
      </c>
      <c r="E12" t="s">
        <v>320</v>
      </c>
    </row>
    <row r="13" spans="1:6" x14ac:dyDescent="0.25">
      <c r="A13" t="s">
        <v>303</v>
      </c>
      <c r="B13">
        <f>(15*6-B12)/5</f>
        <v>12</v>
      </c>
      <c r="C13" t="s">
        <v>318</v>
      </c>
      <c r="E13" t="s">
        <v>320</v>
      </c>
    </row>
    <row r="14" spans="1:6" x14ac:dyDescent="0.25">
      <c r="A14" t="s">
        <v>304</v>
      </c>
      <c r="B14">
        <v>1</v>
      </c>
      <c r="C14" t="s">
        <v>321</v>
      </c>
    </row>
    <row r="15" spans="1:6" x14ac:dyDescent="0.25">
      <c r="A15" t="s">
        <v>305</v>
      </c>
      <c r="B15">
        <v>1</v>
      </c>
      <c r="C15" t="s">
        <v>321</v>
      </c>
    </row>
    <row r="16" spans="1:6" x14ac:dyDescent="0.25">
      <c r="A16" t="s">
        <v>306</v>
      </c>
      <c r="B16">
        <v>1</v>
      </c>
      <c r="C16" t="s">
        <v>321</v>
      </c>
    </row>
    <row r="17" spans="1:3" x14ac:dyDescent="0.25">
      <c r="A17" t="s">
        <v>307</v>
      </c>
      <c r="B17">
        <v>6</v>
      </c>
      <c r="C17" t="s">
        <v>317</v>
      </c>
    </row>
    <row r="18" spans="1:3" x14ac:dyDescent="0.25">
      <c r="A18" t="s">
        <v>311</v>
      </c>
      <c r="B18">
        <f>10*6</f>
        <v>60</v>
      </c>
      <c r="C18" t="s">
        <v>322</v>
      </c>
    </row>
    <row r="19" spans="1:3" x14ac:dyDescent="0.25">
      <c r="A19" t="s">
        <v>310</v>
      </c>
      <c r="B19">
        <f>5*7</f>
        <v>35</v>
      </c>
      <c r="C19" t="s">
        <v>322</v>
      </c>
    </row>
    <row r="20" spans="1:3" x14ac:dyDescent="0.25">
      <c r="A20" t="s">
        <v>309</v>
      </c>
      <c r="B20">
        <f>5*7</f>
        <v>35</v>
      </c>
      <c r="C20" t="s">
        <v>322</v>
      </c>
    </row>
    <row r="21" spans="1:3" x14ac:dyDescent="0.25">
      <c r="A21" t="s">
        <v>324</v>
      </c>
      <c r="B21">
        <v>6</v>
      </c>
      <c r="C21" t="s">
        <v>325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B1" zoomScaleNormal="60" zoomScaleSheetLayoutView="100" workbookViewId="0">
      <pane ySplit="1" topLeftCell="A2" activePane="bottomLeft" state="frozen"/>
      <selection activeCell="B1" sqref="B1"/>
      <selection pane="bottomLeft" activeCell="I3" sqref="I3"/>
    </sheetView>
  </sheetViews>
  <sheetFormatPr defaultRowHeight="15" x14ac:dyDescent="0.25"/>
  <cols>
    <col min="1" max="1" width="23.140625"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461</v>
      </c>
      <c r="B1" t="s">
        <v>462</v>
      </c>
      <c r="C1" t="s">
        <v>463</v>
      </c>
      <c r="D1" t="s">
        <v>464</v>
      </c>
      <c r="E1" t="s">
        <v>465</v>
      </c>
      <c r="F1" t="s">
        <v>494</v>
      </c>
      <c r="G1" t="s">
        <v>493</v>
      </c>
      <c r="H1" t="s">
        <v>466</v>
      </c>
      <c r="I1" t="s">
        <v>467</v>
      </c>
      <c r="J1" t="s">
        <v>491</v>
      </c>
      <c r="K1" t="s">
        <v>468</v>
      </c>
      <c r="L1" t="s">
        <v>469</v>
      </c>
      <c r="M1" t="s">
        <v>470</v>
      </c>
      <c r="N1" t="s">
        <v>471</v>
      </c>
      <c r="O1" t="s">
        <v>472</v>
      </c>
      <c r="P1" t="s">
        <v>473</v>
      </c>
      <c r="Q1" t="s">
        <v>474</v>
      </c>
      <c r="R1" t="s">
        <v>475</v>
      </c>
      <c r="S1" t="s">
        <v>476</v>
      </c>
      <c r="T1" t="s">
        <v>477</v>
      </c>
      <c r="U1" t="s">
        <v>492</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0.86041666666666672</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C4" s="107" t="b">
        <v>0</v>
      </c>
      <c r="D4" s="107" t="b">
        <v>0</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2026-03-16T21:16:48Z</dcterms:modified>
  <cp:category/>
  <cp:contentStatus/>
</cp:coreProperties>
</file>