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https://d.docs.live.net/736bb1ccd5622dcc/Documents/BoardGames/ShiftingSands/"/>
    </mc:Choice>
  </mc:AlternateContent>
  <xr:revisionPtr revIDLastSave="4705" documentId="11_0B1D56BE9CDCCE836B02CE7A5FB0D4A9BBFD1C62" xr6:coauthVersionLast="47" xr6:coauthVersionMax="47" xr10:uidLastSave="{353A9C22-61D7-9C45-B12B-02C16212F420}"/>
  <bookViews>
    <workbookView xWindow="-120" yWindow="-120" windowWidth="38640" windowHeight="21120" activeTab="6" xr2:uid="{00000000-000D-0000-FFFF-FFFF00000000}"/>
  </bookViews>
  <sheets>
    <sheet name="Cards" sheetId="1" r:id="rId1"/>
    <sheet name="Info" sheetId="2" r:id="rId2"/>
    <sheet name="Training Setups" sheetId="6" r:id="rId3"/>
    <sheet name="Provincial and Undermarket" sheetId="3" r:id="rId4"/>
    <sheet name="Printable Cards" sheetId="7" r:id="rId5"/>
    <sheet name="Components" sheetId="8" r:id="rId6"/>
    <sheet name="Playtesting"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7" l="1"/>
  <c r="H2" i="7"/>
  <c r="AV2" i="7"/>
  <c r="H1" i="7"/>
  <c r="AV1" i="7"/>
  <c r="G1" i="7"/>
  <c r="AU1" i="7"/>
  <c r="A1" i="7"/>
  <c r="AO1" i="7"/>
  <c r="B1" i="7"/>
  <c r="AP1" i="7"/>
  <c r="C1" i="7"/>
  <c r="AQ1" i="7"/>
  <c r="D1" i="7"/>
  <c r="AR1" i="7"/>
  <c r="E1" i="7"/>
  <c r="AS1" i="7"/>
  <c r="F1" i="7"/>
  <c r="AT1" i="7"/>
  <c r="I1" i="7"/>
  <c r="AW1" i="7"/>
  <c r="J1" i="7"/>
  <c r="AX1" i="7"/>
  <c r="K1" i="7"/>
  <c r="AY1" i="7"/>
  <c r="L1" i="7"/>
  <c r="AZ1" i="7"/>
  <c r="M1" i="7"/>
  <c r="BA1" i="7"/>
  <c r="N1" i="7"/>
  <c r="BB1" i="7"/>
  <c r="O1" i="7"/>
  <c r="BC1" i="7"/>
  <c r="P1" i="7"/>
  <c r="BD1" i="7"/>
  <c r="Q1" i="7"/>
  <c r="BE1" i="7"/>
  <c r="R1" i="7"/>
  <c r="BF1" i="7"/>
  <c r="S1" i="7"/>
  <c r="BG1" i="7"/>
  <c r="T1" i="7"/>
  <c r="BH1" i="7"/>
  <c r="U1" i="7"/>
  <c r="BI1" i="7"/>
  <c r="V1" i="7"/>
  <c r="BJ1" i="7"/>
  <c r="W1" i="7"/>
  <c r="BK1" i="7"/>
  <c r="X1" i="7"/>
  <c r="BL1" i="7"/>
  <c r="Y1" i="7"/>
  <c r="BM1" i="7"/>
  <c r="Z1" i="7"/>
  <c r="BN1" i="7"/>
  <c r="AA1" i="7"/>
  <c r="BO1" i="7"/>
  <c r="AB1" i="7"/>
  <c r="BP1" i="7"/>
  <c r="AC1" i="7"/>
  <c r="BQ1" i="7"/>
  <c r="AD1" i="7"/>
  <c r="BR1" i="7"/>
  <c r="AE1" i="7"/>
  <c r="BM5" i="7"/>
  <c r="AF1" i="7"/>
  <c r="BN5" i="7"/>
  <c r="AG1" i="7"/>
  <c r="BO5" i="7"/>
  <c r="AH1" i="7"/>
  <c r="BP5" i="7"/>
  <c r="AI1" i="7"/>
  <c r="BQ5" i="7"/>
  <c r="AJ1" i="7"/>
  <c r="BN3" i="7"/>
  <c r="AK1" i="7"/>
  <c r="BO3" i="7"/>
  <c r="AL1" i="7"/>
  <c r="BP3" i="7"/>
  <c r="AM1" i="7"/>
  <c r="BQ3" i="7"/>
  <c r="AN1" i="7"/>
  <c r="BR3" i="7"/>
  <c r="A2" i="7"/>
  <c r="AO2" i="7"/>
  <c r="B2" i="7"/>
  <c r="AP2" i="7"/>
  <c r="C2" i="7"/>
  <c r="AQ2" i="7"/>
  <c r="D2" i="7"/>
  <c r="AR2" i="7"/>
  <c r="E2" i="7"/>
  <c r="AS2" i="7"/>
  <c r="F2" i="7"/>
  <c r="AT2" i="7"/>
  <c r="AU2" i="7"/>
  <c r="I2" i="7"/>
  <c r="AW2" i="7"/>
  <c r="J2" i="7"/>
  <c r="AX2" i="7"/>
  <c r="K2" i="7"/>
  <c r="AY2" i="7"/>
  <c r="L2" i="7"/>
  <c r="AZ2" i="7"/>
  <c r="M2" i="7"/>
  <c r="BA2" i="7"/>
  <c r="N2" i="7"/>
  <c r="BB2" i="7"/>
  <c r="O2" i="7"/>
  <c r="BC2" i="7"/>
  <c r="P2" i="7"/>
  <c r="BD2" i="7"/>
  <c r="Q2" i="7"/>
  <c r="BE2" i="7"/>
  <c r="R2" i="7"/>
  <c r="BF2" i="7"/>
  <c r="S2" i="7"/>
  <c r="BG2" i="7"/>
  <c r="T2" i="7"/>
  <c r="BH2" i="7"/>
  <c r="U2" i="7"/>
  <c r="BI2" i="7"/>
  <c r="V2" i="7"/>
  <c r="BJ2" i="7"/>
  <c r="W2" i="7"/>
  <c r="BK2" i="7"/>
  <c r="X2" i="7"/>
  <c r="BL2" i="7"/>
  <c r="Y2" i="7"/>
  <c r="BM2" i="7"/>
  <c r="Z2" i="7"/>
  <c r="BN2" i="7"/>
  <c r="AA2" i="7"/>
  <c r="BO2" i="7"/>
  <c r="AB2" i="7"/>
  <c r="BP2" i="7"/>
  <c r="AC2" i="7"/>
  <c r="BQ2" i="7"/>
  <c r="AD2" i="7"/>
  <c r="BR2" i="7"/>
  <c r="AE2" i="7"/>
  <c r="BM6" i="7"/>
  <c r="AF2" i="7"/>
  <c r="BN6" i="7"/>
  <c r="AG2" i="7"/>
  <c r="BO6" i="7"/>
  <c r="AH2" i="7"/>
  <c r="BP6" i="7"/>
  <c r="AI2" i="7"/>
  <c r="BQ6" i="7"/>
  <c r="AJ2" i="7"/>
  <c r="BN4" i="7"/>
  <c r="AK2" i="7"/>
  <c r="BO4" i="7"/>
  <c r="AL2" i="7"/>
  <c r="BP4" i="7"/>
  <c r="AM2" i="7"/>
  <c r="BQ4" i="7"/>
  <c r="AN2" i="7"/>
  <c r="BR4" i="7"/>
  <c r="A5" i="7"/>
  <c r="V5" i="7"/>
  <c r="B5" i="7"/>
  <c r="AR5" i="7"/>
  <c r="C5" i="7"/>
  <c r="X5" i="7"/>
  <c r="D5" i="7"/>
  <c r="AT5" i="7"/>
  <c r="E5" i="7"/>
  <c r="AU5" i="7"/>
  <c r="F5" i="7"/>
  <c r="AV5" i="7"/>
  <c r="G5" i="7"/>
  <c r="AW5" i="7"/>
  <c r="H5" i="7"/>
  <c r="AX5" i="7"/>
  <c r="I5" i="7"/>
  <c r="AD5" i="7"/>
  <c r="J5" i="7"/>
  <c r="AE5" i="7"/>
  <c r="K5" i="7"/>
  <c r="AF5" i="7"/>
  <c r="L5" i="7"/>
  <c r="AG5" i="7"/>
  <c r="M5" i="7"/>
  <c r="AH5" i="7"/>
  <c r="BC5" i="7"/>
  <c r="N5" i="7"/>
  <c r="AI5" i="7"/>
  <c r="O5" i="7"/>
  <c r="BE5" i="7"/>
  <c r="P5" i="7"/>
  <c r="AK5" i="7"/>
  <c r="Q5" i="7"/>
  <c r="AL5" i="7"/>
  <c r="R5" i="7"/>
  <c r="BH5" i="7"/>
  <c r="S5" i="7"/>
  <c r="BI5" i="7"/>
  <c r="T5" i="7"/>
  <c r="BJ5" i="7"/>
  <c r="U5" i="7"/>
  <c r="BK5" i="7"/>
  <c r="A6" i="7"/>
  <c r="V6" i="7"/>
  <c r="B6" i="7"/>
  <c r="W6" i="7"/>
  <c r="C6" i="7"/>
  <c r="X6" i="7"/>
  <c r="D6" i="7"/>
  <c r="Y6" i="7"/>
  <c r="E6" i="7"/>
  <c r="Z6" i="7"/>
  <c r="F6" i="7"/>
  <c r="AV6" i="7"/>
  <c r="G6" i="7"/>
  <c r="AB6" i="7"/>
  <c r="H6" i="7"/>
  <c r="AC6" i="7"/>
  <c r="I6" i="7"/>
  <c r="AD6" i="7"/>
  <c r="J6" i="7"/>
  <c r="AZ6" i="7"/>
  <c r="K6" i="7"/>
  <c r="AF6" i="7"/>
  <c r="L6" i="7"/>
  <c r="BB6" i="7"/>
  <c r="M6" i="7"/>
  <c r="AH6" i="7"/>
  <c r="N6" i="7"/>
  <c r="BD6" i="7"/>
  <c r="O6" i="7"/>
  <c r="BE6" i="7"/>
  <c r="P6" i="7"/>
  <c r="AK6" i="7"/>
  <c r="Q6" i="7"/>
  <c r="BG6" i="7"/>
  <c r="R6" i="7"/>
  <c r="AM6" i="7"/>
  <c r="S6" i="7"/>
  <c r="AN6" i="7"/>
  <c r="T6" i="7"/>
  <c r="AO6" i="7"/>
  <c r="U6" i="7"/>
  <c r="AP6" i="7"/>
  <c r="D4" i="7"/>
  <c r="AJ4" i="7"/>
  <c r="E4" i="7"/>
  <c r="AK4" i="7"/>
  <c r="F4" i="7"/>
  <c r="AL4" i="7"/>
  <c r="P4" i="7"/>
  <c r="AV4" i="7"/>
  <c r="Q4" i="7"/>
  <c r="AW4" i="7"/>
  <c r="AC4" i="7"/>
  <c r="BI4" i="7"/>
  <c r="H3" i="7"/>
  <c r="AN3" i="7"/>
  <c r="I3" i="7"/>
  <c r="AO3" i="7"/>
  <c r="J3" i="7"/>
  <c r="AP3" i="7"/>
  <c r="T3" i="7"/>
  <c r="AZ3" i="7"/>
  <c r="U3" i="7"/>
  <c r="BA3" i="7"/>
  <c r="V3" i="7"/>
  <c r="BB3" i="7"/>
  <c r="AE3" i="7"/>
  <c r="BK3" i="7"/>
  <c r="AF3" i="7"/>
  <c r="BL3" i="7"/>
  <c r="AF4" i="7"/>
  <c r="BL4" i="7"/>
  <c r="AE4" i="7"/>
  <c r="BK4" i="7"/>
  <c r="AD4" i="7"/>
  <c r="BJ4" i="7"/>
  <c r="AB4" i="7"/>
  <c r="BH4" i="7"/>
  <c r="AA4" i="7"/>
  <c r="BG4" i="7"/>
  <c r="Z4" i="7"/>
  <c r="BF4" i="7"/>
  <c r="Y4" i="7"/>
  <c r="BE4" i="7"/>
  <c r="X4" i="7"/>
  <c r="BD4" i="7"/>
  <c r="W4" i="7"/>
  <c r="BC4" i="7"/>
  <c r="V4" i="7"/>
  <c r="BB4" i="7"/>
  <c r="U4" i="7"/>
  <c r="BA4" i="7"/>
  <c r="T4" i="7"/>
  <c r="AZ4" i="7"/>
  <c r="S4" i="7"/>
  <c r="AY4" i="7"/>
  <c r="O4" i="7"/>
  <c r="AU4" i="7"/>
  <c r="N4" i="7"/>
  <c r="AT4" i="7"/>
  <c r="M4" i="7"/>
  <c r="AS4" i="7"/>
  <c r="L4" i="7"/>
  <c r="AR4" i="7"/>
  <c r="K4" i="7"/>
  <c r="AQ4" i="7"/>
  <c r="H4" i="7"/>
  <c r="AN4" i="7"/>
  <c r="G4" i="7"/>
  <c r="AM4" i="7"/>
  <c r="C4" i="7"/>
  <c r="AI4" i="7"/>
  <c r="B4" i="7"/>
  <c r="AH4" i="7"/>
  <c r="A4" i="7"/>
  <c r="AG4" i="7"/>
  <c r="A3" i="7"/>
  <c r="AG3" i="7"/>
  <c r="B3" i="7"/>
  <c r="AH3" i="7"/>
  <c r="C3" i="7"/>
  <c r="AI3" i="7"/>
  <c r="D3" i="7"/>
  <c r="AJ3" i="7"/>
  <c r="E3" i="7"/>
  <c r="AK3" i="7"/>
  <c r="F3" i="7"/>
  <c r="AL3" i="7"/>
  <c r="G3" i="7"/>
  <c r="AM3" i="7"/>
  <c r="K3" i="7"/>
  <c r="AQ3" i="7"/>
  <c r="L3" i="7"/>
  <c r="AR3" i="7"/>
  <c r="M3" i="7"/>
  <c r="AS3" i="7"/>
  <c r="N3" i="7"/>
  <c r="AT3" i="7"/>
  <c r="O3" i="7"/>
  <c r="AU3" i="7"/>
  <c r="P3" i="7"/>
  <c r="AV3" i="7"/>
  <c r="Q3" i="7"/>
  <c r="AW3" i="7"/>
  <c r="R3" i="7"/>
  <c r="AX3" i="7"/>
  <c r="S3" i="7"/>
  <c r="AY3" i="7"/>
  <c r="W3" i="7"/>
  <c r="BC3" i="7"/>
  <c r="X3" i="7"/>
  <c r="BD3" i="7"/>
  <c r="Y3" i="7"/>
  <c r="BE3" i="7"/>
  <c r="Z3" i="7"/>
  <c r="BF3" i="7"/>
  <c r="AA3" i="7"/>
  <c r="BG3" i="7"/>
  <c r="AB3" i="7"/>
  <c r="BH3" i="7"/>
  <c r="AC3" i="7"/>
  <c r="BI3" i="7"/>
  <c r="AD3" i="7"/>
  <c r="BJ3" i="7"/>
  <c r="B2" i="8"/>
  <c r="B4" i="8"/>
  <c r="B3" i="8"/>
  <c r="B20" i="8"/>
  <c r="B19" i="8"/>
  <c r="B18" i="8"/>
  <c r="B12" i="8"/>
  <c r="B13" i="8"/>
  <c r="B10" i="8"/>
  <c r="B11" i="8"/>
  <c r="B9" i="8"/>
  <c r="B8" i="8"/>
  <c r="B7" i="8"/>
  <c r="B6" i="8"/>
  <c r="B5" i="8"/>
  <c r="R4" i="7"/>
  <c r="AX4" i="7"/>
  <c r="J4" i="7"/>
  <c r="AP4" i="7"/>
  <c r="I4" i="7"/>
  <c r="AO4" i="7"/>
  <c r="BD5" i="7"/>
  <c r="BB5" i="7"/>
  <c r="BG5" i="7"/>
  <c r="AY5" i="7"/>
  <c r="AL6" i="7"/>
  <c r="AJ6" i="7"/>
  <c r="AI6" i="7"/>
  <c r="BK6" i="7"/>
  <c r="AQ5" i="7"/>
  <c r="BH6" i="7"/>
  <c r="AX6" i="7"/>
  <c r="AN5" i="7"/>
  <c r="AU6" i="7"/>
  <c r="AR6" i="7"/>
  <c r="AY6" i="7"/>
  <c r="AJ5" i="7"/>
  <c r="AB5" i="7"/>
  <c r="W5" i="7"/>
  <c r="AT6" i="7"/>
  <c r="AS5" i="7"/>
  <c r="AC5" i="7"/>
  <c r="AE6" i="7"/>
  <c r="AA6" i="7"/>
  <c r="AP5" i="7"/>
  <c r="AO5" i="7"/>
  <c r="AA5" i="7"/>
  <c r="BA6" i="7"/>
  <c r="AG6" i="7"/>
  <c r="Z5" i="7"/>
  <c r="AM5" i="7"/>
  <c r="Y5" i="7"/>
  <c r="BF6" i="7"/>
  <c r="AS6" i="7"/>
  <c r="BA5" i="7"/>
  <c r="BJ6" i="7"/>
  <c r="BI6" i="7"/>
  <c r="BC6" i="7"/>
  <c r="AW6" i="7"/>
  <c r="AQ6" i="7"/>
  <c r="BF5" i="7"/>
  <c r="AZ5" i="7"/>
</calcChain>
</file>

<file path=xl/sharedStrings.xml><?xml version="1.0" encoding="utf-8"?>
<sst xmlns="http://schemas.openxmlformats.org/spreadsheetml/2006/main" count="581" uniqueCount="419">
  <si>
    <t>Investment Card</t>
  </si>
  <si>
    <t>Law Card</t>
  </si>
  <si>
    <t>Scheme Card</t>
  </si>
  <si>
    <t>Scheme Description</t>
  </si>
  <si>
    <t>Fillibuster</t>
  </si>
  <si>
    <t>Full Coffers</t>
  </si>
  <si>
    <t>Fickle Mercenaries</t>
  </si>
  <si>
    <t xml:space="preserve">Decentralized Wealth </t>
  </si>
  <si>
    <t>Collection Stations</t>
  </si>
  <si>
    <t>Second Thoughts</t>
  </si>
  <si>
    <t>Double Agents</t>
  </si>
  <si>
    <t>Brown Nose</t>
  </si>
  <si>
    <t>Changing Times</t>
  </si>
  <si>
    <t>Questionable Reallocation</t>
  </si>
  <si>
    <t>Mysterious Windfalls</t>
  </si>
  <si>
    <t>Stable Economies</t>
  </si>
  <si>
    <t>Blackmail</t>
  </si>
  <si>
    <t>Lobbyists</t>
  </si>
  <si>
    <t>Unreasonable Distractions</t>
  </si>
  <si>
    <t>Invalid Paperwork</t>
  </si>
  <si>
    <t>Royal Amendment</t>
  </si>
  <si>
    <t>Loyal Citizenry</t>
  </si>
  <si>
    <t>Dangerous Monopolies</t>
  </si>
  <si>
    <t>Frivolous Pursuits</t>
  </si>
  <si>
    <t>Corporate Takeover</t>
  </si>
  <si>
    <t>Royal Bribes</t>
  </si>
  <si>
    <t>Economic Backbone</t>
  </si>
  <si>
    <t>Sabotage</t>
  </si>
  <si>
    <t>Collective Ownership</t>
  </si>
  <si>
    <t>Market Niche</t>
  </si>
  <si>
    <t>Aggressive Tactics</t>
  </si>
  <si>
    <t>Genius Commanders</t>
  </si>
  <si>
    <t>Home Defense</t>
  </si>
  <si>
    <t>Betrayal</t>
  </si>
  <si>
    <t>Damage Redemption</t>
  </si>
  <si>
    <t>Valuable Advisors</t>
  </si>
  <si>
    <t>Undeniable Advisors</t>
  </si>
  <si>
    <t>Chattering Windbags</t>
  </si>
  <si>
    <t>Heavy Overtme</t>
  </si>
  <si>
    <t>Realistic Priorities</t>
  </si>
  <si>
    <t>Bulk Purchaser</t>
  </si>
  <si>
    <t>Threat to the Throne</t>
  </si>
  <si>
    <t>Valuable Cargo</t>
  </si>
  <si>
    <t>Stone Foundations</t>
  </si>
  <si>
    <t>Elite Troops</t>
  </si>
  <si>
    <t>Environmental Guardians</t>
  </si>
  <si>
    <t>Bazaar</t>
  </si>
  <si>
    <t>Resilient Officer Corps</t>
  </si>
  <si>
    <t>Caravansaray</t>
  </si>
  <si>
    <t>Bloated Bureaucracy</t>
  </si>
  <si>
    <t>War Machines</t>
  </si>
  <si>
    <t>Police Force</t>
  </si>
  <si>
    <t>Equal Partners</t>
  </si>
  <si>
    <t>Criminal Identification</t>
  </si>
  <si>
    <t>Eager Laborers</t>
  </si>
  <si>
    <t>Honorable Marketplace</t>
  </si>
  <si>
    <t>Wary Guards</t>
  </si>
  <si>
    <t>Engaged Empire</t>
  </si>
  <si>
    <t>Information Security</t>
  </si>
  <si>
    <t>Suspicious Advisors</t>
  </si>
  <si>
    <t>Blood Pact</t>
  </si>
  <si>
    <t>Contingency Plans</t>
  </si>
  <si>
    <t>Expert Broker</t>
  </si>
  <si>
    <t>Worthless Procrastinators</t>
  </si>
  <si>
    <t>Codependent Relationship</t>
  </si>
  <si>
    <t>Dangerous Promises</t>
  </si>
  <si>
    <t>Large Middle Class</t>
  </si>
  <si>
    <t>Innovation Hub</t>
  </si>
  <si>
    <t>Action</t>
  </si>
  <si>
    <t>Description</t>
  </si>
  <si>
    <t>Classification</t>
  </si>
  <si>
    <t>Night Order</t>
  </si>
  <si>
    <t>Setup order</t>
  </si>
  <si>
    <t>Honors</t>
  </si>
  <si>
    <t>Battle</t>
  </si>
  <si>
    <t>Schemes</t>
  </si>
  <si>
    <t>Provincial</t>
  </si>
  <si>
    <t>Pay taxes for active Laws not obeyed and not already taxed to Royal Bank.</t>
  </si>
  <si>
    <t>Shuffle all decks</t>
  </si>
  <si>
    <t>1 per Battle lead</t>
  </si>
  <si>
    <t>Challenger player pays half LL Coins to Royal Bank</t>
  </si>
  <si>
    <t xml:space="preserve">Give 1 Honor to the player with the most Troops deployed. Break ties in favor of player who deployed first. </t>
  </si>
  <si>
    <t>Generate Greek army (12 per player)</t>
  </si>
  <si>
    <t>1 per Battle won</t>
  </si>
  <si>
    <t>Challenger declares their opponent. The opponent must have an unused leader.</t>
  </si>
  <si>
    <t>If the Scheme succeeds, the Target player performs the written action. If necessary, they roll another die to determine the card value (Scheme Card Roll).</t>
  </si>
  <si>
    <t>Build</t>
  </si>
  <si>
    <t>Create new Investments up to Leader's level, paying 1 Commodity per level</t>
  </si>
  <si>
    <t>Resolve Battle with $PD3 Greeks</t>
  </si>
  <si>
    <t>Generate Law deck (1 Law card per player)</t>
  </si>
  <si>
    <t>Challengee chooses unused Leader and pays half LL Coins to Royal Bank. If Challengee cannot pay for any Leader, they forfeit and take 1 Shame. Challengee may make an emergency Sell at Market Rate with no bonuses if they do not have enough Coins.</t>
  </si>
  <si>
    <t>Destroy 1 Greek and 1 Persian in the Battle until only 1 side remains</t>
  </si>
  <si>
    <t>Upgrade</t>
  </si>
  <si>
    <t>Collect Leaders</t>
  </si>
  <si>
    <t>Generate Royal Bank (3 Coins + 1 per player)</t>
  </si>
  <si>
    <t>1 for King's Favor</t>
  </si>
  <si>
    <t>Commission</t>
  </si>
  <si>
    <t>Gain a Leader at half Leader's Level</t>
  </si>
  <si>
    <t>Resolve Schemes</t>
  </si>
  <si>
    <t>Roll for Market Rate</t>
  </si>
  <si>
    <t>1 per Active sponsored Law</t>
  </si>
  <si>
    <t>Promote</t>
  </si>
  <si>
    <t>Increase the Leader's level by 1</t>
  </si>
  <si>
    <t>Winner takes their Coins back from the Royal Bank, half of opponent's Coins, and 1 Honor. Loser receives nothing.</t>
  </si>
  <si>
    <t>Brainstorm</t>
  </si>
  <si>
    <t>Draw Leader's Level cards from each deck</t>
  </si>
  <si>
    <t>Check for game end</t>
  </si>
  <si>
    <t>1 per every 3 Spies</t>
  </si>
  <si>
    <t>Tax</t>
  </si>
  <si>
    <t>Collect 1 Coin from each player (including yourself) for each of your active, sponsored Laws they are not obeying. Gain half of the collected Coins (up to Leader's Level) and put the remainder in the Royal Bank. Your active, sponsored Laws will not be taxed at the end of the round.</t>
  </si>
  <si>
    <t>Roll and adjust Market Rate by 1 in the direction of the result</t>
  </si>
  <si>
    <t>Give 3 Coins to each player</t>
  </si>
  <si>
    <t>1 per every 3 Troops</t>
  </si>
  <si>
    <t>Gain 2 Commodities for each of your Leader's Level</t>
  </si>
  <si>
    <t>Give 1 Spy to each player</t>
  </si>
  <si>
    <t>Negotiate</t>
  </si>
  <si>
    <t>Recruit</t>
  </si>
  <si>
    <t>Gain up to Leader's Level Troops and pay 1 Commodity per Troop gained</t>
  </si>
  <si>
    <t>Give 2 cards from each deck to each player</t>
  </si>
  <si>
    <t>Infiltrate</t>
  </si>
  <si>
    <t>Gain up to Leader's Level Spies and pay 1 Coin per Spy gained</t>
  </si>
  <si>
    <t>Give King's Favor to oldest player</t>
  </si>
  <si>
    <t>Buy</t>
  </si>
  <si>
    <t>Exchange up to Leader Level Coins for Commodities at Market Rate - 1 then decrease the Market Rate by 1</t>
  </si>
  <si>
    <t>Undermarket</t>
  </si>
  <si>
    <t>Reveal top Law in queue as deliberated Law</t>
  </si>
  <si>
    <t>Sell</t>
  </si>
  <si>
    <t>Exchange Commodities for up to Leader Level Coins at Market Rate + 1 then increase the Market Rate by 1</t>
  </si>
  <si>
    <t>Monetize</t>
  </si>
  <si>
    <t>Exchange Cards from your hand for up to Leader Level Coins at 6 - Market Rate</t>
  </si>
  <si>
    <t>Petition</t>
  </si>
  <si>
    <t>Add Leader's Level Law cards to bottom of Law deck</t>
  </si>
  <si>
    <t>Court</t>
  </si>
  <si>
    <t>Postpone</t>
  </si>
  <si>
    <t>Move the deliberated Law Leader's Level places back in the queue. Immediately flip up the next Law in the queue for deliberation.</t>
  </si>
  <si>
    <t>Flatter</t>
  </si>
  <si>
    <t>Gain the King's Favor &amp; gain half Leader's Level Coins from the Royal Bank. Players holding the King's Favor may not Flatter</t>
  </si>
  <si>
    <t>Exchange up to Leader Level Coins for Commodities with the Royal Bank at Market Rate then decrease the Market Rate by 1</t>
  </si>
  <si>
    <t>Exchange Commodities for up to Leader Level Coins with the Royal Bank at Market Rate then increase the Market Rate by 1</t>
  </si>
  <si>
    <t>Exchange Cards from your hand for up to Leader Level Coins at 7 - Market Rate</t>
  </si>
  <si>
    <t>Veteran</t>
  </si>
  <si>
    <t>Master of Lies</t>
  </si>
  <si>
    <t>Chief Scribe</t>
  </si>
  <si>
    <t>Head Banker</t>
  </si>
  <si>
    <t>Warmongerer</t>
  </si>
  <si>
    <t>Crime Lord</t>
  </si>
  <si>
    <t>Investment 1</t>
  </si>
  <si>
    <t>Investment 2</t>
  </si>
  <si>
    <t>Investment 3</t>
  </si>
  <si>
    <t>Investment 4</t>
  </si>
  <si>
    <t>Law</t>
  </si>
  <si>
    <t>Responsible For</t>
  </si>
  <si>
    <t>Troops</t>
  </si>
  <si>
    <t>Laws, taxes, sanctions</t>
  </si>
  <si>
    <t xml:space="preserve">Coins and Commodities </t>
  </si>
  <si>
    <t>Battlefield and dice</t>
  </si>
  <si>
    <t>Market Rate</t>
  </si>
  <si>
    <t>Royal Bank</t>
  </si>
  <si>
    <t>Greek Reserves</t>
  </si>
  <si>
    <t>Law Cards</t>
  </si>
  <si>
    <t>Investment Cards</t>
  </si>
  <si>
    <t>Scheme Cards</t>
  </si>
  <si>
    <t>Player Card Tags</t>
  </si>
  <si>
    <t>Persian Troop tokens</t>
  </si>
  <si>
    <t>Greek Troop tokens</t>
  </si>
  <si>
    <t>Spy tokens</t>
  </si>
  <si>
    <t>Commodity tokens</t>
  </si>
  <si>
    <t>5 Commodities tokens</t>
  </si>
  <si>
    <t>Coin tokens</t>
  </si>
  <si>
    <t>5 Coins tokens</t>
  </si>
  <si>
    <t>Court Board</t>
  </si>
  <si>
    <t>Province Board</t>
  </si>
  <si>
    <t>Battlefield Board</t>
  </si>
  <si>
    <t>Player Screens</t>
  </si>
  <si>
    <t>Player Favor tokens</t>
  </si>
  <si>
    <t>Shared 3-sided dice</t>
  </si>
  <si>
    <t>Shared 6-sided dice</t>
  </si>
  <si>
    <t>Player 6-sided dice</t>
  </si>
  <si>
    <t>Count</t>
  </si>
  <si>
    <t>Base Material</t>
  </si>
  <si>
    <t>Base Cost</t>
  </si>
  <si>
    <t>Deluxe material</t>
  </si>
  <si>
    <t>Deluxe cost</t>
  </si>
  <si>
    <t>Card</t>
  </si>
  <si>
    <t>Wood</t>
  </si>
  <si>
    <t>Metal</t>
  </si>
  <si>
    <t>Game Board</t>
  </si>
  <si>
    <t>Plastic</t>
  </si>
  <si>
    <t>Scheme Envelopes</t>
  </si>
  <si>
    <t>Cloth</t>
  </si>
  <si>
    <t>If Persians are victorious, destroy remaining Persians and an equal number of Greek Reinforcements. Give 1 Honor to each player with troops in the battle.</t>
  </si>
  <si>
    <t>Set aside $PD3 Greeks for the battle. These are the attacking Greeks.</t>
  </si>
  <si>
    <t>Game Modifications</t>
  </si>
  <si>
    <t>No setup Investment drafting</t>
  </si>
  <si>
    <t>Players with multiple roles choose the top two Investments of their primary role and the bottom two of their secondary role</t>
  </si>
  <si>
    <t>Deal 5 Investments to each player. Players will then draft 4 Investments, one at a time, and discard the remaining Investments.</t>
  </si>
  <si>
    <t>Each player distributes 8 levels between their 4 Investments and 8 levels between their 4 leaders.</t>
  </si>
  <si>
    <t>Increase existing Investment by Leader's Level, paying 1 Commodity per level</t>
  </si>
  <si>
    <t>Assign Laws in the queue in order of roles listed here, left to right</t>
  </si>
  <si>
    <t>All starting Leaders and Investments begin at level 2</t>
  </si>
  <si>
    <t>Rival</t>
  </si>
  <si>
    <t>Primary Ally</t>
  </si>
  <si>
    <t>Secondary Ally</t>
  </si>
  <si>
    <t>Market Rate starts at 3</t>
  </si>
  <si>
    <t>Veteran starts with King's Favor</t>
  </si>
  <si>
    <t>Deploy 2 Troops</t>
  </si>
  <si>
    <t>Recruit 2 Troops</t>
  </si>
  <si>
    <t>Undermarket Buy with 2 Coins</t>
  </si>
  <si>
    <t>Upgrade Eager Laborers by 2 Levels</t>
  </si>
  <si>
    <t>Postpone with Level 1 Leader</t>
  </si>
  <si>
    <t>Set Deliberated Laws to 2</t>
  </si>
  <si>
    <t>Petition both Laws</t>
  </si>
  <si>
    <t>Deploy 2 Troops with 1 extra</t>
  </si>
  <si>
    <t>Private Sell</t>
  </si>
  <si>
    <t>Undermarket Sell for 4 Coins</t>
  </si>
  <si>
    <t>Negotiate with Head Banker</t>
  </si>
  <si>
    <t>Negotiate with Chief Scribe</t>
  </si>
  <si>
    <t>Deploy</t>
  </si>
  <si>
    <t>Warmongerer Schemes against Chief Scribe with himself as Receiver</t>
  </si>
  <si>
    <t>Head Banker Schemes against Veteran with himself as Receiver</t>
  </si>
  <si>
    <t>Reassign King's Favor to Player obeying the most Laws</t>
  </si>
  <si>
    <t>Undermarket Sell</t>
  </si>
  <si>
    <t>1 per every Favor from your greatest ally</t>
  </si>
  <si>
    <t>Upgrade Collection Stations</t>
  </si>
  <si>
    <t>Instructions</t>
  </si>
  <si>
    <t>Spies, cards</t>
  </si>
  <si>
    <t>Round 1</t>
  </si>
  <si>
    <t>Round 2</t>
  </si>
  <si>
    <t>Round 3</t>
  </si>
  <si>
    <t>Court Buy with 2 Coins</t>
  </si>
  <si>
    <t>Irregular Partiality</t>
  </si>
  <si>
    <t>Accuse Veteran</t>
  </si>
  <si>
    <t>Players return one held Favor for each of their leader levels to each other if they have one</t>
  </si>
  <si>
    <t>Players each roll $LLD6 and count all dice with a result higher than 3 as 1 point, adding any Investment bonuses to the total. The player with the highest total wins the round. On ties, both players reroll. Repeat this for best 2 out of 3 rounds.</t>
  </si>
  <si>
    <t>Trials</t>
  </si>
  <si>
    <t>Declare a target Player, and resolve a Trial with an unused Leader of their choice</t>
  </si>
  <si>
    <t>Sue</t>
  </si>
  <si>
    <t>Date</t>
  </si>
  <si>
    <t>Players</t>
  </si>
  <si>
    <t>Virtual</t>
  </si>
  <si>
    <t>Training</t>
  </si>
  <si>
    <t>Greeks per Player</t>
  </si>
  <si>
    <t>Start Time</t>
  </si>
  <si>
    <t>End Time</t>
  </si>
  <si>
    <t>Round 1 End</t>
  </si>
  <si>
    <t>Round 2 End</t>
  </si>
  <si>
    <t>Round 3 End</t>
  </si>
  <si>
    <t>Round 4 End</t>
  </si>
  <si>
    <t>Round 5 End</t>
  </si>
  <si>
    <t>Round 6 End</t>
  </si>
  <si>
    <t>Round 7 End</t>
  </si>
  <si>
    <t>Round 8 End</t>
  </si>
  <si>
    <t>Round 9 End</t>
  </si>
  <si>
    <t>Round 10 End</t>
  </si>
  <si>
    <t>Greek army starts with 5 Greeks per player</t>
  </si>
  <si>
    <t>Prioritize</t>
  </si>
  <si>
    <t>Move a Law Leader's Level places forward in the queue, but never to become the Deliberated Law</t>
  </si>
  <si>
    <t>Fire Temple</t>
  </si>
  <si>
    <t>Skillful Orators</t>
  </si>
  <si>
    <t>1 per Sue won</t>
  </si>
  <si>
    <t>Setup End</t>
  </si>
  <si>
    <t>Scoring End</t>
  </si>
  <si>
    <t>Lowest Score</t>
  </si>
  <si>
    <t>Highest Score</t>
  </si>
  <si>
    <t>Ratify deliberated Law and set value of next deliberated Law</t>
  </si>
  <si>
    <t>Courtroom Gambling</t>
  </si>
  <si>
    <t>Kingdom Advocates</t>
  </si>
  <si>
    <t>Exchange Alliance tokens with a Player of your choice. The chosen Player must place a Leader on this space. Both players then exchange up to the lowest LL tokens.</t>
  </si>
  <si>
    <t>Add 1 Coin per Player to Royal Bank</t>
  </si>
  <si>
    <t>Give 1 Troop per Player to each player</t>
  </si>
  <si>
    <t>Donate</t>
  </si>
  <si>
    <t>Pay up to Leader's Level Coins to the Royal Bank and immediately gain half the Coins paid in Honor</t>
  </si>
  <si>
    <t>Pay up to Leader's Level Coins to the Royal Bank and immediately gain half the Coins paid in Honor. Immediately demote the Leader used.</t>
  </si>
  <si>
    <t>Abusive Power</t>
  </si>
  <si>
    <t>Stalled Front</t>
  </si>
  <si>
    <t>Quality Strength</t>
  </si>
  <si>
    <t>Rallied Opposition</t>
  </si>
  <si>
    <t>Waning Support</t>
  </si>
  <si>
    <t>Send Troops up to Leader's Level to the Battlefield and gain half Troops in Coins</t>
  </si>
  <si>
    <t>Painful Progress</t>
  </si>
  <si>
    <t>If Greeks are victorious, give remaining attacking Greeks to the player who deployed the fewest Troops (break ties with deployment order then with a Tie Trial or agreement). That player destroys 1 Troop per attacking Greek or downgrades 1 investment by $D6 levels if they have no Troops.</t>
  </si>
  <si>
    <t>Move your foremost Law to the back of the Queue</t>
  </si>
  <si>
    <t>Humiliation</t>
  </si>
  <si>
    <t>Misaligned Strategy</t>
  </si>
  <si>
    <t>Target Player rolls a die. If the result is a 6 or is higher than half their Troops, the Scheme is executed. Otherwise, the Scheme fails. (Scheme Guard Roll)</t>
  </si>
  <si>
    <t>Deploy 2 Troops for no Coins.</t>
  </si>
  <si>
    <t>Court Sell for 2 Coins</t>
  </si>
  <si>
    <t>Private Sell for 3 Coins</t>
  </si>
  <si>
    <t>Flatter for 3 Coins</t>
  </si>
  <si>
    <t>Infiltrate 3 Spies</t>
  </si>
  <si>
    <t>Iron Command</t>
  </si>
  <si>
    <t>Negotiate with Veteran</t>
  </si>
  <si>
    <t>Increase Market Rate at Night</t>
  </si>
  <si>
    <t>Undermarket Monetize with Law and Scheme cards for 2 Coins</t>
  </si>
  <si>
    <t>Veteran schemes against Rival with himself as Receiver</t>
  </si>
  <si>
    <t>Court Donate</t>
  </si>
  <si>
    <t>Private Monetize</t>
  </si>
  <si>
    <t>Undermarket Donate</t>
  </si>
  <si>
    <t>Chief Scribe trades Undeniable Advisors with Veteran for Eager Youth using an Alliance Token</t>
  </si>
  <si>
    <t>Assassination Attempt</t>
  </si>
  <si>
    <t>Localized Famine</t>
  </si>
  <si>
    <t>Lose half your Commodities</t>
  </si>
  <si>
    <t>Highway Robbery</t>
  </si>
  <si>
    <t>Lose half your Coins</t>
  </si>
  <si>
    <t>Camp Plague</t>
  </si>
  <si>
    <t>Lose half your Troops</t>
  </si>
  <si>
    <t>Weakening Grip</t>
  </si>
  <si>
    <t>Lose half your Spies</t>
  </si>
  <si>
    <t>Corporate Espionage</t>
  </si>
  <si>
    <t>Disard half your cards of each type</t>
  </si>
  <si>
    <t>Culture Shift</t>
  </si>
  <si>
    <t>Blatant Extortion</t>
  </si>
  <si>
    <t>One Man's Trash</t>
  </si>
  <si>
    <t>Honorable Accountability</t>
  </si>
  <si>
    <t>Silver-Tongue</t>
  </si>
  <si>
    <t>Boasting Propaganda</t>
  </si>
  <si>
    <t>Build Level 2 Investment (Boasting Propaganda)</t>
  </si>
  <si>
    <t>Recruit 3 Troops</t>
  </si>
  <si>
    <t>Buy with 2 Coins</t>
  </si>
  <si>
    <t>Monetize for 1 Coin</t>
  </si>
  <si>
    <t>Brainstorm for 6 cards</t>
  </si>
  <si>
    <t>Brainstorm for 8 cards</t>
  </si>
  <si>
    <t>Negotiate with the Crime Lord</t>
  </si>
  <si>
    <t>Sue the Master of Lies</t>
  </si>
  <si>
    <t>Monetize Schemes and Laws for 2 Coins</t>
  </si>
  <si>
    <t>Pass</t>
  </si>
  <si>
    <t>Sue Crime Lord</t>
  </si>
  <si>
    <t>Collect</t>
  </si>
  <si>
    <t>Collect 4 Commodities</t>
  </si>
  <si>
    <t>Persian
Troops</t>
  </si>
  <si>
    <t>Mock Trials</t>
  </si>
  <si>
    <t>Inspiring Command</t>
  </si>
  <si>
    <t>Centralized Economy</t>
  </si>
  <si>
    <t>Partisan Contributions</t>
  </si>
  <si>
    <t>Plastic Magnet</t>
  </si>
  <si>
    <t>Plastic Mini</t>
  </si>
  <si>
    <t>Change the boundary of an active Law</t>
  </si>
  <si>
    <t>Give d6 Coins to the Receiver. Perform an Emergency Trade if needed.</t>
  </si>
  <si>
    <t>Give d6 Spies to the Receiver</t>
  </si>
  <si>
    <t>Give d6 random Cards of each type from your hand to the Receiver</t>
  </si>
  <si>
    <t>Downgrade an Investment by d6 levels</t>
  </si>
  <si>
    <t>Demote a Leader at level d6 by half and send it to the Receiver</t>
  </si>
  <si>
    <t>Demote a Leader by d6 levels</t>
  </si>
  <si>
    <t>Move your foremost Law d6 spaces back in the Queue</t>
  </si>
  <si>
    <t>Move d6 of your Laws each one space back in the Queue</t>
  </si>
  <si>
    <t>Pay d6 Coins to the holder of the King's Favor then give the King's Favor to the Receiver. Perform an Emergency Trade if needed.</t>
  </si>
  <si>
    <t>Downgrade an Investment at or above level d6 by half and send it to the Receiver</t>
  </si>
  <si>
    <t>Give d6 + d6 Troops to the Receiver</t>
  </si>
  <si>
    <t>Give d6 + d6 Commodities to the Receiver</t>
  </si>
  <si>
    <t>Investment HTML Description</t>
  </si>
  <si>
    <t>Move the deliberated Law $L6 additional places back in the queue during Postpone</t>
  </si>
  <si>
    <t>Move the Law $L6 additional places forward in the queue during Prioritize</t>
  </si>
  <si>
    <t xml:space="preserve">You may keep up to $L6 additional Coins when Taxing other Players </t>
  </si>
  <si>
    <t>Gain $L3 additional Coins during Flatter</t>
  </si>
  <si>
    <t>Gain $L3 more Commodities per Coin when Buying from the Undermarket</t>
  </si>
  <si>
    <t>Add $L3 additional Law cards to the bottom of the queue during Petition</t>
  </si>
  <si>
    <t>Purchase up to $L6 additional Troops during Recruit</t>
  </si>
  <si>
    <t>Purchase up to $L6 additional Spies during Infiltrate</t>
  </si>
  <si>
    <t>Gain $L3 more Commodities per Coin when Buying from the Court</t>
  </si>
  <si>
    <t>Gain $L3 additional Coins from outside the Royal Bank when winning a Trial</t>
  </si>
  <si>
    <t>Spend $L3 fewer Cards per Coin when Monetizing in the Undermarket</t>
  </si>
  <si>
    <t>Draw $L6 additional cards from any decks during Brainstorm</t>
  </si>
  <si>
    <t>Purchase up to $L3 Spies when targeted by a Scheme</t>
  </si>
  <si>
    <t>You may repeat Provincial Actions with Leaders that have at least level 7 - $L6</t>
  </si>
  <si>
    <t>You may repeat $L3 Court Actions per round</t>
  </si>
  <si>
    <t>Trade up to $L3 additional Coins when Buying from the Court</t>
  </si>
  <si>
    <t>Trade for up to $L3 additional Coins when Selling to the Court</t>
  </si>
  <si>
    <t>Gain $L3 additional Coins from the Royal Bank when Deploying Troops</t>
  </si>
  <si>
    <t>Provides private Buy Action at Market Rate + $L3</t>
  </si>
  <si>
    <t>Provides private Sell Action at Market Rate - $L3</t>
  </si>
  <si>
    <t>After deploying, purchase and immediately deploy up to $L3 Troops, but no more than your deployed Troops.</t>
  </si>
  <si>
    <t>Convert $L3 additional Coins during Court Donate</t>
  </si>
  <si>
    <t>Add $L6 additional dice to each Roll during a Trial</t>
  </si>
  <si>
    <t>Collect $L6 additional Commodities during Collect</t>
  </si>
  <si>
    <t>Subtract $L3 from Scheme Evasion rolls. An unmodified 6 always succeeds.</t>
  </si>
  <si>
    <t>Subtract $L3 from Scheme Damage rolls</t>
  </si>
  <si>
    <t>Spend $L3 fewer Commodities per Coin when Selling to the Undermarket</t>
  </si>
  <si>
    <t>Spend $L3 fewer Commodities per Coin when Selling to the Court</t>
  </si>
  <si>
    <t>Trade up to $L3 additional Coins when Buying from the Undermarket</t>
  </si>
  <si>
    <t>Trade for up to $L3 additional Coins when Selling to the Undermarket</t>
  </si>
  <si>
    <t>Trade for up to $L3 additional Coins when Monetizing in the Undermarket</t>
  </si>
  <si>
    <t>Provides private Monetize Action at Market Rate + $L3</t>
  </si>
  <si>
    <t>Spend $L3 fewer Cards per Coin when Monetizing in the Court</t>
  </si>
  <si>
    <t>Trade for up to $L3 additional Coins when Monetizing in the Court</t>
  </si>
  <si>
    <t>Draw $L6 additional cards from the top of any discard pile during Brainstorm</t>
  </si>
  <si>
    <t>Convert $L3 additional Coins during Undermarket Donate</t>
  </si>
  <si>
    <t>You may pay 7 - $L6 Commodities to repeat Undermarket Actions</t>
  </si>
  <si>
    <t>Deploy $L3 additional Troops during Deploy</t>
  </si>
  <si>
    <t>Law HTML Description</t>
  </si>
  <si>
    <t>The Royal Bank must have at least $L6 Coins or all Players suffer sanctions on Undermarket Actions</t>
  </si>
  <si>
    <t>The Royal Bank may not have more than $L6 Coins or all Players suffer sanctions on Undermarket Actions</t>
  </si>
  <si>
    <t>Each Player must have at least 3 + $L6 Investments or they will suffer sanctions on Commission</t>
  </si>
  <si>
    <t>No Player may have more than 3 + $L6 Investments or they will suffer sanctions on Commission</t>
  </si>
  <si>
    <t>Each Player must deploy at least $L6 Troops or they will suffer sanctions on Petition</t>
  </si>
  <si>
    <t>No Player may deploy more than $L6 Troops or they will suffer sanctions on Petition</t>
  </si>
  <si>
    <t>Each Player must have at least $L6 sponsored Laws in the Edicts or in the Queue or they will suffer sanctions on Tax</t>
  </si>
  <si>
    <t>No Player may have more than $L6 sponsored Laws in the Edicts or in the queue or they will suffer sanctions on Tax</t>
  </si>
  <si>
    <t>Each Player must have a Leader with at least level $L6 or they will suffer sanctions on Sue</t>
  </si>
  <si>
    <t>No Player may have a Leader higher than level $L6 or they will suffer sanctions on Sue</t>
  </si>
  <si>
    <t>Each Player must Collect at least $L6 Commodities this round or they will suffer sanctions on Recruit</t>
  </si>
  <si>
    <t>No Player may Collect more than $L6 Commodities this round or they will suffer sanctions on Recruit</t>
  </si>
  <si>
    <t>Each Player must have at least 3 + $L6 Leaders or they will suffer sanctions on Build &amp; Upgrade</t>
  </si>
  <si>
    <t>No Player may have more than 3 + $L6 Leaders or they will suffer sanctions on Build &amp; Upgrade</t>
  </si>
  <si>
    <t>Each Player must have at least $L6 Troops or they will suffer sanctions on Collect</t>
  </si>
  <si>
    <t>No Player may have more than $L6 Troops or they will suffer sanctions on Collect</t>
  </si>
  <si>
    <t>At least $L6 Players must use Undermarket Actions or all Players suffer sanctions on Prioritize</t>
  </si>
  <si>
    <t>No more than $L6 Players may use Undermarket Actions or all Players suffer sanctions on Prioritize</t>
  </si>
  <si>
    <t>At least $L6 Players must use Court Actions or all Players suffer sanctions on Flatter</t>
  </si>
  <si>
    <t>No more than $L6 Players may use Court Actions or all Players suffer sanctions on Flatter</t>
  </si>
  <si>
    <t>Each Player must have at least $L6 Cards of each type in hand or they will suffer sanctions on Monetize</t>
  </si>
  <si>
    <t>No Player may have more than $L6 Cards of each type in their hand or they will suffer sanctions on Monetize</t>
  </si>
  <si>
    <t>Each Player must Deploy at least $L6 Troops or they will suffer sanctions on Donate</t>
  </si>
  <si>
    <t>No Player may Deploy more than $L6 Troops or they will suffer sanctions on Donate</t>
  </si>
  <si>
    <t>Each Player must Donate at least $L6 Coins or they will suffer sanctions on Postpone &amp; Prioritize</t>
  </si>
  <si>
    <t>No Player may Donate more than $L6 Coins or they will suffer sanctions on Postpone &amp; Prioritize</t>
  </si>
  <si>
    <t>Each Player must Sue using a Leader with at least level $L6 this round or they will suffer sanctions on Deploy</t>
  </si>
  <si>
    <t>No Player may Sue using a Leader higher than level $L6 this round or they will suffer sanctions on Deploy</t>
  </si>
  <si>
    <t>Each Player must have an Investment with at least level $L6 or they will suffer sanctions on Infiltrate</t>
  </si>
  <si>
    <t>No Player may have an Investment higher than level $L6 or they will suffer sanctions on Infiltrate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</si>
</sst>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F400]h:mm:ss\ AM/PM"/>
  </numFmts>
  <fonts count="8" x14ac:knownFonts="1">
    <font>
      <sz val="11"/>
      <color theme="1"/>
      <name val="Aptos Narrow"/>
      <family val="2"/>
      <scheme val="minor"/>
    </font>
    <font>
      <sz val="20"/>
      <color theme="1"/>
      <name val="Aptos Narrow"/>
      <family val="2"/>
      <scheme val="minor"/>
    </font>
    <font>
      <sz val="28"/>
      <color theme="1"/>
      <name val="Aptos Narrow"/>
      <family val="2"/>
      <scheme val="minor"/>
    </font>
    <font>
      <sz val="48"/>
      <color theme="1"/>
      <name val="Aptos Narrow"/>
      <family val="2"/>
      <scheme val="minor"/>
    </font>
    <font>
      <b/>
      <sz val="11"/>
      <color theme="1"/>
      <name val="Aptos Narrow"/>
      <family val="2"/>
      <scheme val="minor"/>
    </font>
    <font>
      <b/>
      <sz val="16"/>
      <color theme="1"/>
      <name val="Aptos Narrow"/>
      <family val="2"/>
      <scheme val="minor"/>
    </font>
    <font>
      <b/>
      <sz val="28"/>
      <color rgb="FFEFBF04"/>
      <name val="Aptos Narrow"/>
      <family val="2"/>
      <scheme val="minor"/>
    </font>
    <font>
      <sz val="28"/>
      <name val="Aptos Narrow"/>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rgb="FFCC3333"/>
        <bgColor indexed="64"/>
      </patternFill>
    </fill>
    <fill>
      <patternFill patternType="solid">
        <fgColor rgb="FFEFBF04"/>
        <bgColor indexed="64"/>
      </patternFill>
    </fill>
    <fill>
      <patternFill patternType="solid">
        <fgColor rgb="FF1C39BB"/>
        <bgColor indexed="64"/>
      </patternFill>
    </fill>
  </fills>
  <borders count="5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rgb="FF505050"/>
      </top>
      <bottom style="thin">
        <color rgb="FF505050"/>
      </bottom>
      <diagonal/>
    </border>
    <border>
      <left/>
      <right style="medium">
        <color indexed="64"/>
      </right>
      <top style="thin">
        <color rgb="FF505050"/>
      </top>
      <bottom style="thin">
        <color rgb="FF505050"/>
      </bottom>
      <diagonal/>
    </border>
    <border>
      <left/>
      <right style="medium">
        <color indexed="64"/>
      </right>
      <top/>
      <bottom style="thin">
        <color rgb="FF505050"/>
      </bottom>
      <diagonal/>
    </border>
    <border>
      <left style="medium">
        <color indexed="64"/>
      </left>
      <right style="medium">
        <color indexed="64"/>
      </right>
      <top/>
      <bottom style="thin">
        <color rgb="FF505050"/>
      </bottom>
      <diagonal/>
    </border>
    <border>
      <left style="medium">
        <color indexed="64"/>
      </left>
      <right style="medium">
        <color indexed="64"/>
      </right>
      <top style="thin">
        <color rgb="FF505050"/>
      </top>
      <bottom/>
      <diagonal/>
    </border>
    <border>
      <left style="medium">
        <color rgb="FF000000"/>
      </left>
      <right style="medium">
        <color rgb="FF000000"/>
      </right>
      <top style="medium">
        <color rgb="FF000000"/>
      </top>
      <bottom style="medium">
        <color rgb="FF000000"/>
      </bottom>
      <diagonal/>
    </border>
    <border>
      <left/>
      <right style="medium">
        <color indexed="64"/>
      </right>
      <top style="thin">
        <color rgb="FF505050"/>
      </top>
      <bottom/>
      <diagonal/>
    </border>
    <border>
      <left style="medium">
        <color rgb="FF000000"/>
      </left>
      <right style="medium">
        <color rgb="FF000000"/>
      </right>
      <top/>
      <bottom/>
      <diagonal/>
    </border>
    <border>
      <left/>
      <right style="medium">
        <color indexed="64"/>
      </right>
      <top/>
      <bottom style="thin">
        <color indexed="64"/>
      </bottom>
      <diagonal/>
    </border>
    <border>
      <left style="medium">
        <color rgb="FF000000"/>
      </left>
      <right/>
      <top/>
      <bottom/>
      <diagonal/>
    </border>
    <border>
      <left style="medium">
        <color rgb="FF000000"/>
      </left>
      <right/>
      <top style="medium">
        <color rgb="FF000000"/>
      </top>
      <bottom style="medium">
        <color rgb="FF000000"/>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top/>
      <bottom style="thin">
        <color rgb="FF505050"/>
      </bottom>
      <diagonal/>
    </border>
    <border>
      <left style="medium">
        <color indexed="64"/>
      </left>
      <right/>
      <top style="thin">
        <color rgb="FF505050"/>
      </top>
      <bottom style="thin">
        <color rgb="FF505050"/>
      </bottom>
      <diagonal/>
    </border>
    <border>
      <left style="medium">
        <color indexed="64"/>
      </left>
      <right/>
      <top style="thin">
        <color rgb="FF50505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rgb="FF505050"/>
      </top>
      <bottom style="medium">
        <color indexed="64"/>
      </bottom>
      <diagonal/>
    </border>
  </borders>
  <cellStyleXfs count="1">
    <xf numFmtId="0" fontId="0" fillId="0" borderId="0"/>
  </cellStyleXfs>
  <cellXfs count="11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0" borderId="0" xfId="0" applyFont="1"/>
    <xf numFmtId="0" fontId="2" fillId="0" borderId="1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3"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15" xfId="0" applyBorder="1" applyAlignment="1">
      <alignment vertical="top" wrapText="1"/>
    </xf>
    <xf numFmtId="0" fontId="0" fillId="0" borderId="15" xfId="0" applyBorder="1" applyAlignment="1">
      <alignment vertical="top"/>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top" wrapText="1"/>
    </xf>
    <xf numFmtId="0" fontId="0" fillId="0" borderId="20" xfId="0" applyBorder="1" applyAlignment="1">
      <alignment vertical="center"/>
    </xf>
    <xf numFmtId="0" fontId="0" fillId="0" borderId="21" xfId="0" applyBorder="1" applyAlignment="1">
      <alignment wrapText="1"/>
    </xf>
    <xf numFmtId="0" fontId="0" fillId="0" borderId="22" xfId="0" applyBorder="1" applyAlignment="1">
      <alignment wrapText="1"/>
    </xf>
    <xf numFmtId="0" fontId="0" fillId="0" borderId="21" xfId="0" quotePrefix="1" applyBorder="1" applyAlignment="1">
      <alignment wrapText="1"/>
    </xf>
    <xf numFmtId="0" fontId="0" fillId="0" borderId="21" xfId="0" applyBorder="1"/>
    <xf numFmtId="0" fontId="0" fillId="0" borderId="22" xfId="0" applyBorder="1"/>
    <xf numFmtId="0" fontId="0" fillId="0" borderId="23" xfId="0" applyBorder="1" applyAlignment="1">
      <alignment vertical="center"/>
    </xf>
    <xf numFmtId="0" fontId="0" fillId="0" borderId="24" xfId="0" applyBorder="1" applyAlignment="1">
      <alignment vertical="top" wrapText="1"/>
    </xf>
    <xf numFmtId="0" fontId="0" fillId="0" borderId="25" xfId="0" applyBorder="1" applyAlignment="1">
      <alignment vertical="center"/>
    </xf>
    <xf numFmtId="0" fontId="0" fillId="0" borderId="26" xfId="0" applyBorder="1" applyAlignment="1">
      <alignment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1" xfId="0" applyBorder="1" applyAlignment="1">
      <alignment wrapText="1"/>
    </xf>
    <xf numFmtId="0" fontId="0" fillId="0" borderId="1" xfId="0" applyBorder="1"/>
    <xf numFmtId="0" fontId="2" fillId="2" borderId="13" xfId="0" applyFont="1" applyFill="1" applyBorder="1" applyAlignment="1">
      <alignment horizontal="left" vertical="center" wrapText="1"/>
    </xf>
    <xf numFmtId="0" fontId="0" fillId="0" borderId="11" xfId="0" applyBorder="1"/>
    <xf numFmtId="0" fontId="4" fillId="0" borderId="1" xfId="0" applyFont="1" applyBorder="1" applyAlignment="1">
      <alignment horizontal="center" vertical="center"/>
    </xf>
    <xf numFmtId="0" fontId="4" fillId="0" borderId="14" xfId="0" applyFont="1" applyBorder="1" applyAlignment="1">
      <alignment horizontal="center" vertical="center"/>
    </xf>
    <xf numFmtId="0" fontId="0" fillId="0" borderId="31" xfId="0" applyBorder="1" applyAlignment="1">
      <alignment horizontal="left" vertical="center"/>
    </xf>
    <xf numFmtId="0" fontId="0" fillId="0" borderId="32" xfId="0" applyBorder="1" applyAlignment="1">
      <alignment horizontal="left" vertical="center"/>
    </xf>
    <xf numFmtId="0" fontId="0" fillId="0" borderId="33" xfId="0" applyBorder="1" applyAlignment="1">
      <alignment horizontal="left" vertical="center"/>
    </xf>
    <xf numFmtId="0" fontId="0" fillId="0" borderId="34" xfId="0" applyBorder="1" applyAlignment="1">
      <alignment horizontal="left" vertical="center"/>
    </xf>
    <xf numFmtId="0" fontId="0" fillId="0" borderId="35" xfId="0" applyBorder="1" applyAlignment="1">
      <alignment horizontal="left" vertical="center"/>
    </xf>
    <xf numFmtId="0" fontId="0" fillId="0" borderId="36" xfId="0" applyBorder="1"/>
    <xf numFmtId="0" fontId="0" fillId="0" borderId="37" xfId="0" applyBorder="1" applyAlignment="1">
      <alignment horizontal="left" vertical="center"/>
    </xf>
    <xf numFmtId="0" fontId="0" fillId="0" borderId="38" xfId="0" applyBorder="1"/>
    <xf numFmtId="0" fontId="0" fillId="0" borderId="39" xfId="0" applyBorder="1"/>
    <xf numFmtId="0" fontId="0" fillId="0" borderId="6" xfId="0" applyBorder="1"/>
    <xf numFmtId="0" fontId="0" fillId="0" borderId="40" xfId="0" applyBorder="1"/>
    <xf numFmtId="0" fontId="5" fillId="0" borderId="10" xfId="0" applyFont="1" applyBorder="1" applyAlignment="1">
      <alignment horizontal="center" vertical="top" wrapText="1"/>
    </xf>
    <xf numFmtId="0" fontId="5" fillId="0" borderId="4" xfId="0" applyFont="1" applyBorder="1" applyAlignment="1">
      <alignment horizontal="center" vertical="top" wrapText="1"/>
    </xf>
    <xf numFmtId="0" fontId="5" fillId="0" borderId="3" xfId="0" applyFont="1" applyBorder="1" applyAlignment="1">
      <alignment horizontal="center" vertical="top" wrapText="1"/>
    </xf>
    <xf numFmtId="0" fontId="5" fillId="0" borderId="2" xfId="0" applyFont="1" applyBorder="1" applyAlignment="1">
      <alignment horizontal="center" vertical="top" wrapText="1"/>
    </xf>
    <xf numFmtId="0" fontId="0" fillId="0" borderId="5" xfId="0" applyBorder="1"/>
    <xf numFmtId="0" fontId="0" fillId="0" borderId="12" xfId="0" applyBorder="1" applyAlignment="1">
      <alignment horizontal="left" wrapText="1"/>
    </xf>
    <xf numFmtId="0" fontId="0" fillId="0" borderId="9" xfId="0" applyBorder="1"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5" fillId="0" borderId="11" xfId="0" applyFont="1" applyBorder="1" applyAlignment="1">
      <alignment horizontal="center" vertical="top" wrapText="1"/>
    </xf>
    <xf numFmtId="0" fontId="5" fillId="0" borderId="6" xfId="0" applyFont="1" applyBorder="1" applyAlignment="1">
      <alignment horizontal="center" vertical="top" wrapText="1"/>
    </xf>
    <xf numFmtId="0" fontId="5" fillId="0" borderId="0" xfId="0" applyFont="1" applyAlignment="1">
      <alignment horizontal="center" vertical="top" wrapText="1"/>
    </xf>
    <xf numFmtId="0" fontId="5" fillId="0" borderId="5" xfId="0" applyFont="1" applyBorder="1" applyAlignment="1">
      <alignment horizontal="center" vertical="top" wrapText="1"/>
    </xf>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41" xfId="0" applyBorder="1"/>
    <xf numFmtId="0" fontId="0" fillId="0" borderId="42" xfId="0" applyBorder="1"/>
    <xf numFmtId="0" fontId="0" fillId="0" borderId="43" xfId="0" applyBorder="1"/>
    <xf numFmtId="0" fontId="0" fillId="0" borderId="13" xfId="0" applyBorder="1"/>
    <xf numFmtId="0" fontId="0" fillId="0" borderId="44" xfId="0" applyBorder="1"/>
    <xf numFmtId="0" fontId="0" fillId="0" borderId="45" xfId="0" applyBorder="1"/>
    <xf numFmtId="0" fontId="0" fillId="0" borderId="0" xfId="0" applyAlignment="1">
      <alignment horizontal="left" wrapText="1"/>
    </xf>
    <xf numFmtId="0" fontId="0" fillId="0" borderId="11" xfId="0" applyBorder="1" applyAlignment="1">
      <alignment horizontal="left" wrapText="1"/>
    </xf>
    <xf numFmtId="0" fontId="0" fillId="0" borderId="5" xfId="0" applyBorder="1" applyAlignment="1">
      <alignment horizontal="left" wrapText="1"/>
    </xf>
    <xf numFmtId="164" fontId="0" fillId="0" borderId="0" xfId="0" applyNumberFormat="1"/>
    <xf numFmtId="0" fontId="0" fillId="0" borderId="0" xfId="0">
      <extLst>
        <ext xmlns:xfpb="http://schemas.microsoft.com/office/spreadsheetml/2022/featurepropertybag" uri="{C7286773-470A-42A8-94C5-96B5CB345126}">
          <xfpb:xfComplement i="0"/>
        </ext>
      </extLst>
    </xf>
    <xf numFmtId="165" fontId="0" fillId="0" borderId="0" xfId="0" applyNumberFormat="1"/>
    <xf numFmtId="0" fontId="1" fillId="4" borderId="1" xfId="0" applyFont="1" applyFill="1" applyBorder="1" applyAlignment="1">
      <alignment horizontal="center" vertical="top"/>
    </xf>
    <xf numFmtId="0" fontId="0" fillId="0" borderId="46" xfId="0" applyBorder="1" applyAlignment="1">
      <alignment horizontal="left" vertical="center"/>
    </xf>
    <xf numFmtId="0" fontId="4" fillId="0" borderId="10" xfId="0" applyFont="1" applyBorder="1" applyAlignment="1">
      <alignment horizontal="center" vertical="center"/>
    </xf>
    <xf numFmtId="0" fontId="4" fillId="0" borderId="30" xfId="0" applyFont="1" applyBorder="1" applyAlignment="1">
      <alignment horizontal="center" vertical="center"/>
    </xf>
    <xf numFmtId="0" fontId="0" fillId="0" borderId="47" xfId="0" applyBorder="1" applyAlignment="1">
      <alignment horizontal="left" vertical="center"/>
    </xf>
    <xf numFmtId="0" fontId="0" fillId="0" borderId="48" xfId="0" applyBorder="1" applyAlignment="1">
      <alignment horizontal="left" vertical="center"/>
    </xf>
    <xf numFmtId="0" fontId="0" fillId="0" borderId="37" xfId="0" applyBorder="1" applyAlignment="1">
      <alignment horizontal="left" vertical="center" wrapText="1"/>
    </xf>
    <xf numFmtId="0" fontId="0" fillId="0" borderId="49" xfId="0" applyBorder="1"/>
    <xf numFmtId="0" fontId="0" fillId="0" borderId="50" xfId="0" applyBorder="1" applyAlignment="1">
      <alignment horizontal="left" vertical="center"/>
    </xf>
    <xf numFmtId="0" fontId="2" fillId="0" borderId="30"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8" xfId="0" applyFont="1" applyBorder="1" applyAlignment="1">
      <alignment horizontal="center" vertical="center" wrapText="1"/>
    </xf>
    <xf numFmtId="0" fontId="6" fillId="5" borderId="1" xfId="0" applyFont="1" applyFill="1" applyBorder="1" applyAlignment="1">
      <alignment horizontal="center" vertical="center" wrapText="1"/>
    </xf>
    <xf numFmtId="0" fontId="6" fillId="5" borderId="30" xfId="0" applyFont="1" applyFill="1" applyBorder="1" applyAlignment="1">
      <alignment horizontal="center" vertical="center" wrapText="1"/>
    </xf>
    <xf numFmtId="0" fontId="6" fillId="5" borderId="1"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8" xfId="0" applyFont="1" applyFill="1" applyBorder="1" applyAlignment="1">
      <alignment horizontal="center" vertical="center"/>
    </xf>
    <xf numFmtId="0" fontId="7" fillId="3" borderId="1" xfId="0" applyFont="1" applyFill="1"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0" xfId="0" applyBorder="1" applyAlignment="1">
      <alignment horizontal="left" vertical="center"/>
    </xf>
    <xf numFmtId="0" fontId="0" fillId="0" borderId="0" xfId="0" applyBorder="1" applyAlignment="1">
      <alignment horizontal="left" vertical="top" wrapText="1"/>
    </xf>
    <xf numFmtId="0" fontId="0" fillId="0" borderId="0" xfId="0" applyBorder="1" applyAlignment="1">
      <alignment vertical="center"/>
    </xf>
    <xf numFmtId="0" fontId="0" fillId="0" borderId="0" xfId="0" applyBorder="1" applyAlignment="1">
      <alignment vertical="top" wrapText="1"/>
    </xf>
    <xf numFmtId="0" fontId="0" fillId="0" borderId="0" xfId="0" applyBorder="1" applyAlignment="1">
      <alignment vertical="top"/>
    </xf>
    <xf numFmtId="0" fontId="0" fillId="0" borderId="0" xfId="0" applyBorder="1" applyAlignment="1">
      <alignment horizontal="left" vertical="center" wrapText="1"/>
    </xf>
    <xf numFmtId="0" fontId="0" fillId="0" borderId="0" xfId="0" applyBorder="1" applyAlignment="1">
      <alignment horizontal="left" vertical="top"/>
    </xf>
    <xf numFmtId="0" fontId="0" fillId="0" borderId="0" xfId="0" applyAlignment="1">
      <alignment horizontal="center" vertical="center"/>
    </xf>
    <xf numFmtId="0" fontId="0" fillId="0" borderId="0" xfId="0" applyAlignment="1">
      <alignment horizontal="left" vertical="top" wrapText="1"/>
    </xf>
    <xf numFmtId="0" fontId="3" fillId="4" borderId="30"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14"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EFBF04"/>
      <color rgb="FF1C39BB"/>
      <color rgb="FFCC3333"/>
      <color rgb="FFFFFF66"/>
      <color rgb="FFE5CDA9"/>
      <color rgb="FFFFE2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microsoft.com/office/2022/11/relationships/FeaturePropertyBag" Target="featurePropertyBag/featurePropertyBag.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1</xdr:col>
      <xdr:colOff>7017</xdr:colOff>
      <xdr:row>7</xdr:row>
      <xdr:rowOff>1019175</xdr:rowOff>
    </xdr:from>
    <xdr:to>
      <xdr:col>1</xdr:col>
      <xdr:colOff>1433762</xdr:colOff>
      <xdr:row>7</xdr:row>
      <xdr:rowOff>1243263</xdr:rowOff>
    </xdr:to>
    <xdr:sp macro="" textlink="">
      <xdr:nvSpPr>
        <xdr:cNvPr id="11" name="TextBox 10">
          <a:extLst>
            <a:ext uri="{FF2B5EF4-FFF2-40B4-BE49-F238E27FC236}">
              <a16:creationId xmlns:a16="http://schemas.microsoft.com/office/drawing/2014/main" id="{263C6929-F455-4392-8FF0-0BAF1B2A42D9}"/>
            </a:ext>
          </a:extLst>
        </xdr:cNvPr>
        <xdr:cNvSpPr txBox="1"/>
      </xdr:nvSpPr>
      <xdr:spPr>
        <a:xfrm>
          <a:off x="2057399" y="9897478"/>
          <a:ext cx="1426745" cy="224088"/>
        </a:xfrm>
        <a:prstGeom prst="rect">
          <a:avLst/>
        </a:prstGeom>
        <a:solidFill>
          <a:srgbClr val="EFBF0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Commodities</a:t>
          </a:r>
        </a:p>
      </xdr:txBody>
    </xdr:sp>
    <xdr:clientData/>
  </xdr:twoCellAnchor>
  <xdr:twoCellAnchor>
    <xdr:from>
      <xdr:col>1</xdr:col>
      <xdr:colOff>1343025</xdr:colOff>
      <xdr:row>6</xdr:row>
      <xdr:rowOff>495300</xdr:rowOff>
    </xdr:from>
    <xdr:to>
      <xdr:col>1</xdr:col>
      <xdr:colOff>1657350</xdr:colOff>
      <xdr:row>6</xdr:row>
      <xdr:rowOff>1057275</xdr:rowOff>
    </xdr:to>
    <xdr:sp macro="" textlink="">
      <xdr:nvSpPr>
        <xdr:cNvPr id="8" name="Arrow: Up 7">
          <a:extLst>
            <a:ext uri="{FF2B5EF4-FFF2-40B4-BE49-F238E27FC236}">
              <a16:creationId xmlns:a16="http://schemas.microsoft.com/office/drawing/2014/main" id="{AB240F5A-E050-4CAD-8299-672EF9710C9D}"/>
            </a:ext>
          </a:extLst>
        </xdr:cNvPr>
        <xdr:cNvSpPr/>
      </xdr:nvSpPr>
      <xdr:spPr>
        <a:xfrm rot="10800000">
          <a:off x="1343025" y="4162425"/>
          <a:ext cx="314325" cy="561975"/>
        </a:xfrm>
        <a:prstGeom prst="up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1371600</xdr:colOff>
      <xdr:row>6</xdr:row>
      <xdr:rowOff>0</xdr:rowOff>
    </xdr:from>
    <xdr:to>
      <xdr:col>1</xdr:col>
      <xdr:colOff>1685925</xdr:colOff>
      <xdr:row>6</xdr:row>
      <xdr:rowOff>0</xdr:rowOff>
    </xdr:to>
    <xdr:sp macro="" textlink="">
      <xdr:nvSpPr>
        <xdr:cNvPr id="2" name="Arrow: Up 1">
          <a:extLst>
            <a:ext uri="{FF2B5EF4-FFF2-40B4-BE49-F238E27FC236}">
              <a16:creationId xmlns:a16="http://schemas.microsoft.com/office/drawing/2014/main" id="{8C1A2B6F-B5E4-1A7D-62DE-49F55320D7CE}"/>
            </a:ext>
          </a:extLst>
        </xdr:cNvPr>
        <xdr:cNvSpPr/>
      </xdr:nvSpPr>
      <xdr:spPr>
        <a:xfrm rot="10800000">
          <a:off x="1371600" y="4286250"/>
          <a:ext cx="314325" cy="561975"/>
        </a:xfrm>
        <a:prstGeom prst="upArrow">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1352550</xdr:colOff>
      <xdr:row>6</xdr:row>
      <xdr:rowOff>257175</xdr:rowOff>
    </xdr:from>
    <xdr:to>
      <xdr:col>2</xdr:col>
      <xdr:colOff>1666875</xdr:colOff>
      <xdr:row>6</xdr:row>
      <xdr:rowOff>819150</xdr:rowOff>
    </xdr:to>
    <xdr:sp macro="" textlink="">
      <xdr:nvSpPr>
        <xdr:cNvPr id="3" name="Arrow: Up 2">
          <a:extLst>
            <a:ext uri="{FF2B5EF4-FFF2-40B4-BE49-F238E27FC236}">
              <a16:creationId xmlns:a16="http://schemas.microsoft.com/office/drawing/2014/main" id="{B8CFD001-AF76-40FD-8ED3-F45242A36DF9}"/>
            </a:ext>
          </a:extLst>
        </xdr:cNvPr>
        <xdr:cNvSpPr/>
      </xdr:nvSpPr>
      <xdr:spPr>
        <a:xfrm>
          <a:off x="3400425" y="4057650"/>
          <a:ext cx="314325" cy="561975"/>
        </a:xfrm>
        <a:prstGeom prst="upArrow">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1523999</xdr:colOff>
      <xdr:row>6</xdr:row>
      <xdr:rowOff>561974</xdr:rowOff>
    </xdr:from>
    <xdr:to>
      <xdr:col>2</xdr:col>
      <xdr:colOff>1914524</xdr:colOff>
      <xdr:row>6</xdr:row>
      <xdr:rowOff>952499</xdr:rowOff>
    </xdr:to>
    <xdr:sp macro="" textlink="">
      <xdr:nvSpPr>
        <xdr:cNvPr id="4" name="Rectangle: Rounded Corners 3">
          <a:extLst>
            <a:ext uri="{FF2B5EF4-FFF2-40B4-BE49-F238E27FC236}">
              <a16:creationId xmlns:a16="http://schemas.microsoft.com/office/drawing/2014/main" id="{F742FD8E-7C55-4DDF-9D45-246EB8EB4440}"/>
            </a:ext>
          </a:extLst>
        </xdr:cNvPr>
        <xdr:cNvSpPr/>
      </xdr:nvSpPr>
      <xdr:spPr>
        <a:xfrm>
          <a:off x="3571874" y="4362449"/>
          <a:ext cx="390525" cy="390525"/>
        </a:xfrm>
        <a:prstGeom prst="roundRect">
          <a:avLst>
            <a:gd name="adj" fmla="val 25491"/>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baseline="0">
              <a:solidFill>
                <a:schemeClr val="tx1"/>
              </a:solidFill>
            </a:rPr>
            <a:t>+</a:t>
          </a:r>
          <a:r>
            <a:rPr lang="en-US" sz="1200" b="1" i="0" baseline="0">
              <a:solidFill>
                <a:schemeClr val="tx1"/>
              </a:solidFill>
            </a:rPr>
            <a:t>1</a:t>
          </a:r>
          <a:endParaRPr lang="en-US" sz="1100" b="1" i="0" baseline="0">
            <a:solidFill>
              <a:schemeClr val="tx1"/>
            </a:solidFill>
          </a:endParaRPr>
        </a:p>
      </xdr:txBody>
    </xdr:sp>
    <xdr:clientData/>
  </xdr:twoCellAnchor>
  <xdr:twoCellAnchor>
    <xdr:from>
      <xdr:col>1</xdr:col>
      <xdr:colOff>1533525</xdr:colOff>
      <xdr:row>6</xdr:row>
      <xdr:rowOff>361950</xdr:rowOff>
    </xdr:from>
    <xdr:to>
      <xdr:col>1</xdr:col>
      <xdr:colOff>1924050</xdr:colOff>
      <xdr:row>6</xdr:row>
      <xdr:rowOff>752475</xdr:rowOff>
    </xdr:to>
    <xdr:sp macro="" textlink="">
      <xdr:nvSpPr>
        <xdr:cNvPr id="5" name="Rectangle: Rounded Corners 4">
          <a:extLst>
            <a:ext uri="{FF2B5EF4-FFF2-40B4-BE49-F238E27FC236}">
              <a16:creationId xmlns:a16="http://schemas.microsoft.com/office/drawing/2014/main" id="{196F261D-B7DD-43F5-A0C5-B26417634A62}"/>
            </a:ext>
          </a:extLst>
        </xdr:cNvPr>
        <xdr:cNvSpPr/>
      </xdr:nvSpPr>
      <xdr:spPr>
        <a:xfrm>
          <a:off x="1533525" y="4162425"/>
          <a:ext cx="390525" cy="390525"/>
        </a:xfrm>
        <a:prstGeom prst="roundRect">
          <a:avLst>
            <a:gd name="adj" fmla="val 25491"/>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baseline="0">
              <a:solidFill>
                <a:schemeClr val="tx1"/>
              </a:solidFill>
            </a:rPr>
            <a:t>-</a:t>
          </a:r>
          <a:r>
            <a:rPr lang="en-US" sz="1200" b="1" i="0" baseline="0">
              <a:solidFill>
                <a:schemeClr val="tx1"/>
              </a:solidFill>
            </a:rPr>
            <a:t>1</a:t>
          </a:r>
          <a:endParaRPr lang="en-US" sz="1100" b="1" i="0" baseline="0">
            <a:solidFill>
              <a:schemeClr val="tx1"/>
            </a:solidFill>
          </a:endParaRPr>
        </a:p>
      </xdr:txBody>
    </xdr:sp>
    <xdr:clientData/>
  </xdr:twoCellAnchor>
  <xdr:twoCellAnchor>
    <xdr:from>
      <xdr:col>3</xdr:col>
      <xdr:colOff>1466850</xdr:colOff>
      <xdr:row>6</xdr:row>
      <xdr:rowOff>0</xdr:rowOff>
    </xdr:from>
    <xdr:to>
      <xdr:col>3</xdr:col>
      <xdr:colOff>1857375</xdr:colOff>
      <xdr:row>6</xdr:row>
      <xdr:rowOff>0</xdr:rowOff>
    </xdr:to>
    <xdr:sp macro="" textlink="">
      <xdr:nvSpPr>
        <xdr:cNvPr id="6" name="Rectangle: Rounded Corners 5">
          <a:extLst>
            <a:ext uri="{FF2B5EF4-FFF2-40B4-BE49-F238E27FC236}">
              <a16:creationId xmlns:a16="http://schemas.microsoft.com/office/drawing/2014/main" id="{E9BD60E1-C017-41A3-80B3-238A386D4FB9}"/>
            </a:ext>
          </a:extLst>
        </xdr:cNvPr>
        <xdr:cNvSpPr/>
      </xdr:nvSpPr>
      <xdr:spPr>
        <a:xfrm>
          <a:off x="5562600" y="4267200"/>
          <a:ext cx="390525" cy="390525"/>
        </a:xfrm>
        <a:prstGeom prst="roundRect">
          <a:avLst>
            <a:gd name="adj" fmla="val 25491"/>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baseline="0">
              <a:solidFill>
                <a:schemeClr val="tx1"/>
              </a:solidFill>
            </a:rPr>
            <a:t>-</a:t>
          </a:r>
          <a:r>
            <a:rPr lang="en-US" sz="1200" b="1" i="0" baseline="0">
              <a:solidFill>
                <a:schemeClr val="tx1"/>
              </a:solidFill>
            </a:rPr>
            <a:t>1</a:t>
          </a:r>
          <a:endParaRPr lang="en-US" sz="1100" b="1" i="0" baseline="0">
            <a:solidFill>
              <a:schemeClr val="tx1"/>
            </a:solidFill>
          </a:endParaRPr>
        </a:p>
      </xdr:txBody>
    </xdr:sp>
    <xdr:clientData/>
  </xdr:twoCellAnchor>
  <xdr:twoCellAnchor>
    <xdr:from>
      <xdr:col>3</xdr:col>
      <xdr:colOff>1504950</xdr:colOff>
      <xdr:row>6</xdr:row>
      <xdr:rowOff>457200</xdr:rowOff>
    </xdr:from>
    <xdr:to>
      <xdr:col>3</xdr:col>
      <xdr:colOff>1895475</xdr:colOff>
      <xdr:row>6</xdr:row>
      <xdr:rowOff>847725</xdr:rowOff>
    </xdr:to>
    <xdr:sp macro="" textlink="">
      <xdr:nvSpPr>
        <xdr:cNvPr id="7" name="Rectangle: Rounded Corners 6">
          <a:extLst>
            <a:ext uri="{FF2B5EF4-FFF2-40B4-BE49-F238E27FC236}">
              <a16:creationId xmlns:a16="http://schemas.microsoft.com/office/drawing/2014/main" id="{480BC858-CF23-426C-BC86-E5772776D7F9}"/>
            </a:ext>
          </a:extLst>
        </xdr:cNvPr>
        <xdr:cNvSpPr/>
      </xdr:nvSpPr>
      <xdr:spPr>
        <a:xfrm>
          <a:off x="5600700" y="2295525"/>
          <a:ext cx="390525" cy="390525"/>
        </a:xfrm>
        <a:prstGeom prst="roundRect">
          <a:avLst>
            <a:gd name="adj" fmla="val 2549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i="0" baseline="0">
              <a:solidFill>
                <a:schemeClr val="tx1"/>
              </a:solidFill>
            </a:rPr>
            <a:t>-</a:t>
          </a:r>
          <a:r>
            <a:rPr lang="en-US" sz="1200" b="1" i="0" baseline="0">
              <a:solidFill>
                <a:schemeClr val="tx1"/>
              </a:solidFill>
            </a:rPr>
            <a:t>1</a:t>
          </a:r>
          <a:endParaRPr lang="en-US" sz="1100" b="1" i="0" baseline="0">
            <a:solidFill>
              <a:schemeClr val="tx1"/>
            </a:solidFill>
          </a:endParaRPr>
        </a:p>
      </xdr:txBody>
    </xdr:sp>
    <xdr:clientData/>
  </xdr:twoCellAnchor>
  <xdr:twoCellAnchor>
    <xdr:from>
      <xdr:col>1</xdr:col>
      <xdr:colOff>333375</xdr:colOff>
      <xdr:row>7</xdr:row>
      <xdr:rowOff>352425</xdr:rowOff>
    </xdr:from>
    <xdr:to>
      <xdr:col>1</xdr:col>
      <xdr:colOff>973455</xdr:colOff>
      <xdr:row>7</xdr:row>
      <xdr:rowOff>992505</xdr:rowOff>
    </xdr:to>
    <xdr:sp macro="" textlink="">
      <xdr:nvSpPr>
        <xdr:cNvPr id="9" name="Rectangle: Rounded Corners 8">
          <a:extLst>
            <a:ext uri="{FF2B5EF4-FFF2-40B4-BE49-F238E27FC236}">
              <a16:creationId xmlns:a16="http://schemas.microsoft.com/office/drawing/2014/main" id="{AFE0C256-296D-47F7-9153-C7207D362CE9}"/>
            </a:ext>
          </a:extLst>
        </xdr:cNvPr>
        <xdr:cNvSpPr/>
      </xdr:nvSpPr>
      <xdr:spPr>
        <a:xfrm>
          <a:off x="847725" y="3390900"/>
          <a:ext cx="640080" cy="640080"/>
        </a:xfrm>
        <a:prstGeom prst="roundRect">
          <a:avLst>
            <a:gd name="adj" fmla="val 25491"/>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1104900</xdr:colOff>
      <xdr:row>7</xdr:row>
      <xdr:rowOff>476250</xdr:rowOff>
    </xdr:from>
    <xdr:to>
      <xdr:col>1</xdr:col>
      <xdr:colOff>1714499</xdr:colOff>
      <xdr:row>7</xdr:row>
      <xdr:rowOff>866775</xdr:rowOff>
    </xdr:to>
    <xdr:sp macro="" textlink="">
      <xdr:nvSpPr>
        <xdr:cNvPr id="10" name="TextBox 9">
          <a:extLst>
            <a:ext uri="{FF2B5EF4-FFF2-40B4-BE49-F238E27FC236}">
              <a16:creationId xmlns:a16="http://schemas.microsoft.com/office/drawing/2014/main" id="{A8B22148-4BC1-4117-A068-36095DF6367C}"/>
            </a:ext>
          </a:extLst>
        </xdr:cNvPr>
        <xdr:cNvSpPr txBox="1"/>
      </xdr:nvSpPr>
      <xdr:spPr>
        <a:xfrm>
          <a:off x="1619250" y="3514725"/>
          <a:ext cx="609599" cy="390525"/>
        </a:xfrm>
        <a:prstGeom prst="rect">
          <a:avLst/>
        </a:prstGeom>
        <a:solidFill>
          <a:srgbClr val="EFBF0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0"/>
            <a:t>=</a:t>
          </a:r>
          <a:r>
            <a:rPr lang="en-US" sz="2000" b="0" baseline="0"/>
            <a:t> 1</a:t>
          </a:r>
        </a:p>
      </xdr:txBody>
    </xdr:sp>
    <xdr:clientData/>
  </xdr:twoCellAnchor>
  <xdr:twoCellAnchor>
    <xdr:from>
      <xdr:col>1</xdr:col>
      <xdr:colOff>1114925</xdr:colOff>
      <xdr:row>7</xdr:row>
      <xdr:rowOff>780549</xdr:rowOff>
    </xdr:from>
    <xdr:to>
      <xdr:col>1</xdr:col>
      <xdr:colOff>1754604</xdr:colOff>
      <xdr:row>7</xdr:row>
      <xdr:rowOff>961524</xdr:rowOff>
    </xdr:to>
    <xdr:sp macro="" textlink="">
      <xdr:nvSpPr>
        <xdr:cNvPr id="12" name="TextBox 11">
          <a:extLst>
            <a:ext uri="{FF2B5EF4-FFF2-40B4-BE49-F238E27FC236}">
              <a16:creationId xmlns:a16="http://schemas.microsoft.com/office/drawing/2014/main" id="{99E6AFCB-FFB4-451E-AA30-683E4746CB82}"/>
            </a:ext>
          </a:extLst>
        </xdr:cNvPr>
        <xdr:cNvSpPr txBox="1"/>
      </xdr:nvSpPr>
      <xdr:spPr>
        <a:xfrm>
          <a:off x="3165307" y="9658852"/>
          <a:ext cx="639679" cy="180975"/>
        </a:xfrm>
        <a:prstGeom prst="rect">
          <a:avLst/>
        </a:prstGeom>
        <a:solidFill>
          <a:srgbClr val="EFBF0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t>Coin</a:t>
          </a:r>
          <a:endParaRPr lang="en-US" sz="1100"/>
        </a:p>
      </xdr:txBody>
    </xdr:sp>
    <xdr:clientData/>
  </xdr:twoCellAnchor>
  <xdr:twoCellAnchor>
    <xdr:from>
      <xdr:col>1</xdr:col>
      <xdr:colOff>1323975</xdr:colOff>
      <xdr:row>8</xdr:row>
      <xdr:rowOff>514350</xdr:rowOff>
    </xdr:from>
    <xdr:to>
      <xdr:col>1</xdr:col>
      <xdr:colOff>1638300</xdr:colOff>
      <xdr:row>8</xdr:row>
      <xdr:rowOff>1076325</xdr:rowOff>
    </xdr:to>
    <xdr:sp macro="" textlink="">
      <xdr:nvSpPr>
        <xdr:cNvPr id="13" name="Arrow: Up 12">
          <a:extLst>
            <a:ext uri="{FF2B5EF4-FFF2-40B4-BE49-F238E27FC236}">
              <a16:creationId xmlns:a16="http://schemas.microsoft.com/office/drawing/2014/main" id="{4A7A64E9-7CF2-4746-A30D-260518DB83F7}"/>
            </a:ext>
          </a:extLst>
        </xdr:cNvPr>
        <xdr:cNvSpPr/>
      </xdr:nvSpPr>
      <xdr:spPr>
        <a:xfrm rot="10800000">
          <a:off x="1838325" y="2286000"/>
          <a:ext cx="314325" cy="561975"/>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1343025</xdr:colOff>
      <xdr:row>8</xdr:row>
      <xdr:rowOff>285750</xdr:rowOff>
    </xdr:from>
    <xdr:to>
      <xdr:col>2</xdr:col>
      <xdr:colOff>1657350</xdr:colOff>
      <xdr:row>8</xdr:row>
      <xdr:rowOff>847725</xdr:rowOff>
    </xdr:to>
    <xdr:sp macro="" textlink="">
      <xdr:nvSpPr>
        <xdr:cNvPr id="14" name="Arrow: Up 13">
          <a:extLst>
            <a:ext uri="{FF2B5EF4-FFF2-40B4-BE49-F238E27FC236}">
              <a16:creationId xmlns:a16="http://schemas.microsoft.com/office/drawing/2014/main" id="{E78AC844-E51C-4855-95DE-96AA56587902}"/>
            </a:ext>
          </a:extLst>
        </xdr:cNvPr>
        <xdr:cNvSpPr/>
      </xdr:nvSpPr>
      <xdr:spPr>
        <a:xfrm>
          <a:off x="3905250" y="2057400"/>
          <a:ext cx="314325" cy="561975"/>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39"/>
  <sheetViews>
    <sheetView topLeftCell="C1" workbookViewId="0">
      <selection activeCell="E13" sqref="E13"/>
    </sheetView>
  </sheetViews>
  <sheetFormatPr defaultColWidth="9.14453125" defaultRowHeight="15" x14ac:dyDescent="0.2"/>
  <cols>
    <col min="1" max="1" width="24.6171875" style="101" bestFit="1" customWidth="1"/>
    <col min="2" max="2" width="36.58984375" style="101" bestFit="1" customWidth="1"/>
    <col min="3" max="3" width="23.5390625" style="101" bestFit="1" customWidth="1"/>
    <col min="4" max="4" width="36.58984375" style="101" bestFit="1" customWidth="1"/>
    <col min="5" max="5" width="24.88671875" style="101" bestFit="1" customWidth="1"/>
    <col min="6" max="6" width="36.58984375" style="101" bestFit="1" customWidth="1"/>
    <col min="7" max="7" width="13.046875" style="101" bestFit="1" customWidth="1"/>
    <col min="8" max="8" width="36.58984375" style="101" bestFit="1" customWidth="1"/>
    <col min="9" max="9" width="12.5078125" style="101" bestFit="1" customWidth="1"/>
    <col min="10" max="10" width="36.18359375" style="101" bestFit="1" customWidth="1"/>
    <col min="11" max="11" width="39.01171875" style="101" customWidth="1"/>
    <col min="12" max="16384" width="9.14453125" style="101"/>
  </cols>
  <sheetData>
    <row r="1" spans="1:9" x14ac:dyDescent="0.2">
      <c r="A1" s="100" t="s">
        <v>0</v>
      </c>
      <c r="B1" s="109" t="s">
        <v>349</v>
      </c>
      <c r="C1" s="100" t="s">
        <v>1</v>
      </c>
      <c r="D1" s="109" t="s">
        <v>388</v>
      </c>
      <c r="E1" s="100" t="s">
        <v>2</v>
      </c>
      <c r="F1" s="100" t="s">
        <v>3</v>
      </c>
      <c r="G1" s="100"/>
      <c r="H1" s="100"/>
      <c r="I1" s="100"/>
    </row>
    <row r="2" spans="1:9" ht="41.25" x14ac:dyDescent="0.2">
      <c r="A2" s="102" t="s">
        <v>4</v>
      </c>
      <c r="B2" s="110" t="s">
        <v>350</v>
      </c>
      <c r="C2" s="102" t="s">
        <v>5</v>
      </c>
      <c r="D2" s="110" t="s">
        <v>389</v>
      </c>
      <c r="E2" s="102" t="s">
        <v>6</v>
      </c>
      <c r="F2" s="103" t="s">
        <v>347</v>
      </c>
      <c r="G2" s="104"/>
      <c r="H2" s="105"/>
      <c r="I2" s="104"/>
    </row>
    <row r="3" spans="1:9" ht="41.25" x14ac:dyDescent="0.2">
      <c r="A3" s="102" t="s">
        <v>258</v>
      </c>
      <c r="B3" s="110" t="s">
        <v>351</v>
      </c>
      <c r="C3" s="102" t="s">
        <v>7</v>
      </c>
      <c r="D3" s="110" t="s">
        <v>390</v>
      </c>
      <c r="E3" s="102" t="s">
        <v>311</v>
      </c>
      <c r="F3" s="103" t="s">
        <v>337</v>
      </c>
      <c r="G3" s="104"/>
      <c r="H3" s="105"/>
      <c r="I3" s="104"/>
    </row>
    <row r="4" spans="1:9" ht="27.75" x14ac:dyDescent="0.2">
      <c r="A4" s="102" t="s">
        <v>8</v>
      </c>
      <c r="B4" s="110" t="s">
        <v>352</v>
      </c>
      <c r="C4" s="102" t="s">
        <v>9</v>
      </c>
      <c r="D4" s="110" t="s">
        <v>336</v>
      </c>
      <c r="E4" s="102" t="s">
        <v>10</v>
      </c>
      <c r="F4" s="103" t="s">
        <v>338</v>
      </c>
      <c r="G4" s="104"/>
      <c r="H4" s="106"/>
      <c r="I4" s="104"/>
    </row>
    <row r="5" spans="1:9" x14ac:dyDescent="0.2">
      <c r="A5" s="107" t="s">
        <v>11</v>
      </c>
      <c r="B5" s="110" t="s">
        <v>353</v>
      </c>
      <c r="C5" s="102" t="s">
        <v>12</v>
      </c>
      <c r="D5" s="110" t="s">
        <v>336</v>
      </c>
      <c r="E5" s="102" t="s">
        <v>13</v>
      </c>
      <c r="F5" s="103" t="s">
        <v>348</v>
      </c>
      <c r="G5" s="104"/>
      <c r="H5" s="105"/>
      <c r="I5" s="104"/>
    </row>
    <row r="6" spans="1:9" ht="41.25" x14ac:dyDescent="0.2">
      <c r="A6" s="102" t="s">
        <v>14</v>
      </c>
      <c r="B6" s="110" t="s">
        <v>354</v>
      </c>
      <c r="C6" s="102" t="s">
        <v>15</v>
      </c>
      <c r="D6" s="110" t="s">
        <v>391</v>
      </c>
      <c r="E6" s="102" t="s">
        <v>308</v>
      </c>
      <c r="F6" s="103" t="s">
        <v>339</v>
      </c>
      <c r="G6" s="104"/>
      <c r="H6" s="106"/>
      <c r="I6" s="104"/>
    </row>
    <row r="7" spans="1:9" ht="41.25" x14ac:dyDescent="0.2">
      <c r="A7" s="102" t="s">
        <v>17</v>
      </c>
      <c r="B7" s="110" t="s">
        <v>355</v>
      </c>
      <c r="C7" s="102" t="s">
        <v>18</v>
      </c>
      <c r="D7" s="1" t="s">
        <v>392</v>
      </c>
      <c r="E7" s="102" t="s">
        <v>300</v>
      </c>
      <c r="F7" s="103" t="s">
        <v>301</v>
      </c>
      <c r="G7" s="104"/>
      <c r="H7" s="106"/>
      <c r="I7" s="104"/>
    </row>
    <row r="8" spans="1:9" ht="27.75" x14ac:dyDescent="0.2">
      <c r="A8" s="102" t="s">
        <v>21</v>
      </c>
      <c r="B8" s="110" t="s">
        <v>356</v>
      </c>
      <c r="C8" s="102" t="s">
        <v>230</v>
      </c>
      <c r="D8" s="110" t="s">
        <v>336</v>
      </c>
      <c r="E8" s="102" t="s">
        <v>302</v>
      </c>
      <c r="F8" s="108" t="s">
        <v>303</v>
      </c>
      <c r="G8" s="104"/>
      <c r="H8" s="105"/>
      <c r="I8" s="104"/>
    </row>
    <row r="9" spans="1:9" ht="27.75" x14ac:dyDescent="0.2">
      <c r="A9" s="102" t="s">
        <v>314</v>
      </c>
      <c r="B9" s="110" t="s">
        <v>357</v>
      </c>
      <c r="C9" s="102" t="s">
        <v>20</v>
      </c>
      <c r="D9" s="110" t="s">
        <v>336</v>
      </c>
      <c r="E9" s="102" t="s">
        <v>304</v>
      </c>
      <c r="F9" s="103" t="s">
        <v>305</v>
      </c>
      <c r="G9" s="104"/>
      <c r="H9" s="106"/>
      <c r="I9" s="104"/>
    </row>
    <row r="10" spans="1:9" ht="41.25" x14ac:dyDescent="0.2">
      <c r="A10" s="102" t="s">
        <v>25</v>
      </c>
      <c r="B10" s="110" t="s">
        <v>358</v>
      </c>
      <c r="C10" s="102" t="s">
        <v>313</v>
      </c>
      <c r="D10" s="110" t="s">
        <v>415</v>
      </c>
      <c r="E10" s="102" t="s">
        <v>306</v>
      </c>
      <c r="F10" s="103" t="s">
        <v>307</v>
      </c>
      <c r="G10" s="104"/>
      <c r="H10" s="105"/>
      <c r="I10" s="104"/>
    </row>
    <row r="11" spans="1:9" ht="41.25" x14ac:dyDescent="0.2">
      <c r="A11" s="102" t="s">
        <v>265</v>
      </c>
      <c r="B11" s="110" t="s">
        <v>359</v>
      </c>
      <c r="C11" s="102" t="s">
        <v>23</v>
      </c>
      <c r="D11" s="110" t="s">
        <v>416</v>
      </c>
      <c r="E11" s="102" t="s">
        <v>310</v>
      </c>
      <c r="F11" s="103" t="s">
        <v>309</v>
      </c>
      <c r="G11" s="104"/>
      <c r="H11" s="105"/>
      <c r="I11" s="104"/>
    </row>
    <row r="12" spans="1:9" ht="41.25" x14ac:dyDescent="0.2">
      <c r="A12" s="102" t="s">
        <v>29</v>
      </c>
      <c r="B12" s="110" t="s">
        <v>360</v>
      </c>
      <c r="C12" s="102" t="s">
        <v>26</v>
      </c>
      <c r="D12" s="110" t="s">
        <v>417</v>
      </c>
      <c r="E12" s="102" t="s">
        <v>24</v>
      </c>
      <c r="F12" s="103" t="s">
        <v>346</v>
      </c>
      <c r="G12" s="104"/>
      <c r="H12" s="105"/>
      <c r="I12" s="104"/>
    </row>
    <row r="13" spans="1:9" ht="41.25" x14ac:dyDescent="0.2">
      <c r="A13" s="102" t="s">
        <v>31</v>
      </c>
      <c r="B13" s="110" t="s">
        <v>361</v>
      </c>
      <c r="C13" s="102" t="s">
        <v>28</v>
      </c>
      <c r="D13" s="110" t="s">
        <v>418</v>
      </c>
      <c r="E13" s="102" t="s">
        <v>27</v>
      </c>
      <c r="F13" s="103" t="s">
        <v>340</v>
      </c>
      <c r="G13" s="104"/>
      <c r="H13" s="105"/>
      <c r="I13" s="104"/>
    </row>
    <row r="14" spans="1:9" ht="27.75" x14ac:dyDescent="0.2">
      <c r="A14" s="102" t="s">
        <v>34</v>
      </c>
      <c r="B14" s="110" t="s">
        <v>362</v>
      </c>
      <c r="C14" s="102" t="s">
        <v>30</v>
      </c>
      <c r="D14" s="110" t="s">
        <v>393</v>
      </c>
      <c r="E14" s="102" t="s">
        <v>22</v>
      </c>
      <c r="F14" s="103" t="s">
        <v>340</v>
      </c>
      <c r="G14" s="104"/>
      <c r="H14" s="106"/>
      <c r="I14" s="104"/>
    </row>
    <row r="15" spans="1:9" ht="27.75" x14ac:dyDescent="0.2">
      <c r="A15" s="102" t="s">
        <v>331</v>
      </c>
      <c r="B15" s="110" t="s">
        <v>363</v>
      </c>
      <c r="C15" s="102" t="s">
        <v>32</v>
      </c>
      <c r="D15" s="110" t="s">
        <v>394</v>
      </c>
      <c r="E15" s="102" t="s">
        <v>33</v>
      </c>
      <c r="F15" s="103" t="s">
        <v>341</v>
      </c>
      <c r="G15" s="104"/>
      <c r="H15" s="106"/>
      <c r="I15" s="104"/>
    </row>
    <row r="16" spans="1:9" ht="41.25" x14ac:dyDescent="0.2">
      <c r="A16" s="102" t="s">
        <v>36</v>
      </c>
      <c r="B16" s="110" t="s">
        <v>364</v>
      </c>
      <c r="C16" s="102" t="s">
        <v>35</v>
      </c>
      <c r="D16" s="110" t="s">
        <v>395</v>
      </c>
      <c r="E16" s="102" t="s">
        <v>299</v>
      </c>
      <c r="F16" s="103" t="s">
        <v>342</v>
      </c>
      <c r="G16" s="104"/>
      <c r="H16" s="105"/>
      <c r="I16" s="104"/>
    </row>
    <row r="17" spans="1:9" ht="41.25" x14ac:dyDescent="0.2">
      <c r="A17" s="102" t="s">
        <v>40</v>
      </c>
      <c r="B17" s="110" t="s">
        <v>365</v>
      </c>
      <c r="C17" s="102" t="s">
        <v>37</v>
      </c>
      <c r="D17" s="110" t="s">
        <v>396</v>
      </c>
      <c r="E17" s="102" t="s">
        <v>282</v>
      </c>
      <c r="F17" s="103" t="s">
        <v>342</v>
      </c>
      <c r="G17" s="104"/>
      <c r="H17" s="105"/>
      <c r="I17" s="104"/>
    </row>
    <row r="18" spans="1:9" ht="27.75" x14ac:dyDescent="0.2">
      <c r="A18" s="102" t="s">
        <v>42</v>
      </c>
      <c r="B18" s="110" t="s">
        <v>366</v>
      </c>
      <c r="C18" s="102" t="s">
        <v>39</v>
      </c>
      <c r="D18" s="110" t="s">
        <v>397</v>
      </c>
      <c r="E18" s="102" t="s">
        <v>19</v>
      </c>
      <c r="F18" s="103" t="s">
        <v>281</v>
      </c>
      <c r="G18" s="104"/>
      <c r="H18" s="105"/>
      <c r="I18" s="104"/>
    </row>
    <row r="19" spans="1:9" ht="27.75" x14ac:dyDescent="0.2">
      <c r="A19" s="102" t="s">
        <v>44</v>
      </c>
      <c r="B19" s="110" t="s">
        <v>367</v>
      </c>
      <c r="C19" s="102" t="s">
        <v>41</v>
      </c>
      <c r="D19" s="110" t="s">
        <v>398</v>
      </c>
      <c r="E19" s="102" t="s">
        <v>276</v>
      </c>
      <c r="F19" s="103" t="s">
        <v>343</v>
      </c>
      <c r="G19" s="104"/>
      <c r="H19" s="105"/>
      <c r="I19" s="104"/>
    </row>
    <row r="20" spans="1:9" ht="41.25" x14ac:dyDescent="0.2">
      <c r="A20" s="102" t="s">
        <v>46</v>
      </c>
      <c r="B20" s="110" t="s">
        <v>368</v>
      </c>
      <c r="C20" s="102" t="s">
        <v>43</v>
      </c>
      <c r="D20" s="110" t="s">
        <v>399</v>
      </c>
      <c r="E20" s="102" t="s">
        <v>277</v>
      </c>
      <c r="F20" s="103" t="s">
        <v>344</v>
      </c>
      <c r="G20" s="104"/>
      <c r="H20" s="106"/>
      <c r="I20" s="104"/>
    </row>
    <row r="21" spans="1:9" ht="41.25" x14ac:dyDescent="0.2">
      <c r="A21" s="102" t="s">
        <v>48</v>
      </c>
      <c r="B21" s="110" t="s">
        <v>369</v>
      </c>
      <c r="C21" s="102" t="s">
        <v>45</v>
      </c>
      <c r="D21" s="110" t="s">
        <v>400</v>
      </c>
      <c r="E21" s="102" t="s">
        <v>283</v>
      </c>
      <c r="F21" s="103" t="s">
        <v>343</v>
      </c>
      <c r="G21" s="104"/>
      <c r="H21" s="106"/>
      <c r="I21" s="104"/>
    </row>
    <row r="22" spans="1:9" ht="41.25" x14ac:dyDescent="0.2">
      <c r="A22" s="102" t="s">
        <v>50</v>
      </c>
      <c r="B22" s="110" t="s">
        <v>370</v>
      </c>
      <c r="C22" s="102" t="s">
        <v>47</v>
      </c>
      <c r="D22" s="110" t="s">
        <v>401</v>
      </c>
      <c r="E22" s="102" t="s">
        <v>16</v>
      </c>
      <c r="F22" s="103" t="s">
        <v>345</v>
      </c>
      <c r="G22" s="104"/>
      <c r="H22" s="106"/>
      <c r="I22" s="104"/>
    </row>
    <row r="23" spans="1:9" ht="41.25" x14ac:dyDescent="0.2">
      <c r="A23" s="102" t="s">
        <v>315</v>
      </c>
      <c r="B23" s="110" t="s">
        <v>371</v>
      </c>
      <c r="C23" s="102" t="s">
        <v>49</v>
      </c>
      <c r="D23" s="110" t="s">
        <v>402</v>
      </c>
      <c r="E23" s="104"/>
      <c r="F23" s="106"/>
    </row>
    <row r="24" spans="1:9" ht="27.75" x14ac:dyDescent="0.2">
      <c r="A24" s="102" t="s">
        <v>330</v>
      </c>
      <c r="B24" s="110" t="s">
        <v>372</v>
      </c>
      <c r="C24" s="102" t="s">
        <v>51</v>
      </c>
      <c r="D24" s="110" t="s">
        <v>403</v>
      </c>
      <c r="E24" s="104"/>
      <c r="F24" s="106"/>
    </row>
    <row r="25" spans="1:9" ht="27.75" x14ac:dyDescent="0.2">
      <c r="A25" s="102" t="s">
        <v>54</v>
      </c>
      <c r="B25" s="110" t="s">
        <v>373</v>
      </c>
      <c r="C25" s="102" t="s">
        <v>52</v>
      </c>
      <c r="D25" s="110" t="s">
        <v>404</v>
      </c>
      <c r="E25" s="104"/>
      <c r="F25" s="106"/>
    </row>
    <row r="26" spans="1:9" ht="41.25" x14ac:dyDescent="0.2">
      <c r="A26" s="102" t="s">
        <v>56</v>
      </c>
      <c r="B26" s="110" t="s">
        <v>374</v>
      </c>
      <c r="C26" s="102" t="s">
        <v>53</v>
      </c>
      <c r="D26" s="110" t="s">
        <v>405</v>
      </c>
      <c r="E26" s="104"/>
      <c r="F26" s="106"/>
    </row>
    <row r="27" spans="1:9" ht="41.25" x14ac:dyDescent="0.2">
      <c r="A27" s="102" t="s">
        <v>58</v>
      </c>
      <c r="B27" s="110" t="s">
        <v>375</v>
      </c>
      <c r="C27" s="102" t="s">
        <v>55</v>
      </c>
      <c r="D27" s="110" t="s">
        <v>406</v>
      </c>
      <c r="E27" s="104"/>
      <c r="F27" s="106"/>
    </row>
    <row r="28" spans="1:9" ht="27.75" x14ac:dyDescent="0.2">
      <c r="A28" s="102" t="s">
        <v>60</v>
      </c>
      <c r="B28" s="110" t="s">
        <v>376</v>
      </c>
      <c r="C28" s="102" t="s">
        <v>57</v>
      </c>
      <c r="D28" s="110" t="s">
        <v>407</v>
      </c>
      <c r="E28" s="104"/>
      <c r="F28" s="106"/>
    </row>
    <row r="29" spans="1:9" ht="41.25" x14ac:dyDescent="0.2">
      <c r="A29" s="102" t="s">
        <v>62</v>
      </c>
      <c r="B29" s="110" t="s">
        <v>377</v>
      </c>
      <c r="C29" s="102" t="s">
        <v>59</v>
      </c>
      <c r="D29" s="110" t="s">
        <v>408</v>
      </c>
      <c r="E29" s="104"/>
      <c r="F29" s="106"/>
    </row>
    <row r="30" spans="1:9" ht="41.25" x14ac:dyDescent="0.2">
      <c r="A30" s="102" t="s">
        <v>64</v>
      </c>
      <c r="B30" s="110" t="s">
        <v>378</v>
      </c>
      <c r="C30" s="102" t="s">
        <v>61</v>
      </c>
      <c r="D30" s="110" t="s">
        <v>409</v>
      </c>
      <c r="E30" s="104"/>
      <c r="F30" s="106"/>
    </row>
    <row r="31" spans="1:9" ht="41.25" x14ac:dyDescent="0.2">
      <c r="A31" s="102" t="s">
        <v>65</v>
      </c>
      <c r="B31" s="110" t="s">
        <v>379</v>
      </c>
      <c r="C31" s="102" t="s">
        <v>63</v>
      </c>
      <c r="D31" s="110" t="s">
        <v>410</v>
      </c>
      <c r="E31" s="104"/>
      <c r="F31" s="106"/>
    </row>
    <row r="32" spans="1:9" ht="27.75" x14ac:dyDescent="0.2">
      <c r="A32" s="102" t="s">
        <v>66</v>
      </c>
      <c r="B32" s="110" t="s">
        <v>380</v>
      </c>
      <c r="C32" s="107" t="s">
        <v>274</v>
      </c>
      <c r="D32" s="110" t="s">
        <v>411</v>
      </c>
      <c r="E32" s="104"/>
      <c r="F32" s="106"/>
    </row>
    <row r="33" spans="1:6" ht="27.75" x14ac:dyDescent="0.2">
      <c r="A33" s="102" t="s">
        <v>67</v>
      </c>
      <c r="B33" s="110" t="s">
        <v>381</v>
      </c>
      <c r="C33" s="102" t="s">
        <v>275</v>
      </c>
      <c r="D33" s="110" t="s">
        <v>412</v>
      </c>
      <c r="E33" s="104"/>
      <c r="F33" s="106"/>
    </row>
    <row r="34" spans="1:6" ht="41.25" x14ac:dyDescent="0.2">
      <c r="A34" s="102" t="s">
        <v>257</v>
      </c>
      <c r="B34" s="110" t="s">
        <v>382</v>
      </c>
      <c r="C34" s="102" t="s">
        <v>332</v>
      </c>
      <c r="D34" s="110" t="s">
        <v>413</v>
      </c>
      <c r="E34" s="104"/>
      <c r="F34" s="106"/>
    </row>
    <row r="35" spans="1:6" ht="41.25" x14ac:dyDescent="0.2">
      <c r="A35" s="102" t="s">
        <v>266</v>
      </c>
      <c r="B35" s="110" t="s">
        <v>383</v>
      </c>
      <c r="C35" s="102" t="s">
        <v>333</v>
      </c>
      <c r="D35" s="110" t="s">
        <v>414</v>
      </c>
      <c r="E35" s="104"/>
      <c r="F35" s="106"/>
    </row>
    <row r="36" spans="1:6" ht="27.75" x14ac:dyDescent="0.2">
      <c r="A36" s="102" t="s">
        <v>312</v>
      </c>
      <c r="B36" s="110" t="s">
        <v>384</v>
      </c>
      <c r="C36" s="104"/>
      <c r="D36" s="3"/>
      <c r="E36" s="104"/>
    </row>
    <row r="37" spans="1:6" ht="27.75" x14ac:dyDescent="0.2">
      <c r="A37" s="102" t="s">
        <v>273</v>
      </c>
      <c r="B37" s="110" t="s">
        <v>385</v>
      </c>
      <c r="C37" s="104"/>
      <c r="D37" s="3"/>
      <c r="E37" s="104"/>
    </row>
    <row r="38" spans="1:6" ht="27.75" x14ac:dyDescent="0.2">
      <c r="A38" s="102" t="s">
        <v>279</v>
      </c>
      <c r="B38" s="110" t="s">
        <v>386</v>
      </c>
      <c r="C38" s="104"/>
      <c r="D38" s="3"/>
      <c r="E38" s="104"/>
    </row>
    <row r="39" spans="1:6" x14ac:dyDescent="0.2">
      <c r="A39" s="102" t="s">
        <v>290</v>
      </c>
      <c r="B39" s="110" t="s">
        <v>387</v>
      </c>
      <c r="C39" s="104"/>
      <c r="D39" s="3"/>
      <c r="E39" s="104"/>
    </row>
  </sheetData>
  <pageMargins left="0.25" right="0.25" top="0.75" bottom="0.75" header="0.3" footer="0.3"/>
  <pageSetup scale="37" firstPageNumber="0" fitToWidth="0"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95C1D-DB02-1743-BBD2-99104C1FFD33}">
  <dimension ref="A1:I25"/>
  <sheetViews>
    <sheetView topLeftCell="E1" zoomScaleNormal="60" zoomScaleSheetLayoutView="100" workbookViewId="0">
      <pane ySplit="1" topLeftCell="E4" activePane="bottomLeft" state="frozen"/>
      <selection activeCell="E1" sqref="E1"/>
      <selection pane="bottomLeft" activeCell="D11" sqref="D11"/>
    </sheetView>
  </sheetViews>
  <sheetFormatPr defaultRowHeight="15" x14ac:dyDescent="0.2"/>
  <cols>
    <col min="1" max="1" width="13.71875" bestFit="1" customWidth="1"/>
    <col min="2" max="2" width="29.86328125" customWidth="1"/>
    <col min="3" max="3" width="12.10546875" bestFit="1" customWidth="1"/>
    <col min="4" max="4" width="25.55859375" style="1" customWidth="1"/>
    <col min="5" max="5" width="37.26171875" style="1" customWidth="1"/>
    <col min="6" max="6" width="21.7890625" style="1" customWidth="1"/>
    <col min="7" max="7" width="39.546875" style="1" customWidth="1"/>
    <col min="8" max="8" width="34.16796875" style="1" customWidth="1"/>
    <col min="9" max="9" width="40.0859375" customWidth="1"/>
  </cols>
  <sheetData>
    <row r="1" spans="1:9" ht="15.75" thickBot="1" x14ac:dyDescent="0.25">
      <c r="A1" s="25" t="s">
        <v>68</v>
      </c>
      <c r="B1" s="26" t="s">
        <v>69</v>
      </c>
      <c r="C1" s="27" t="s">
        <v>70</v>
      </c>
      <c r="D1" s="28" t="s">
        <v>71</v>
      </c>
      <c r="E1" s="28" t="s">
        <v>72</v>
      </c>
      <c r="F1" s="28" t="s">
        <v>73</v>
      </c>
      <c r="G1" s="28" t="s">
        <v>234</v>
      </c>
      <c r="H1" s="28" t="s">
        <v>74</v>
      </c>
      <c r="I1" s="29" t="s">
        <v>75</v>
      </c>
    </row>
    <row r="2" spans="1:9" ht="54.75" x14ac:dyDescent="0.2">
      <c r="A2" s="21" t="s">
        <v>217</v>
      </c>
      <c r="B2" s="22" t="s">
        <v>278</v>
      </c>
      <c r="C2" s="23" t="s">
        <v>76</v>
      </c>
      <c r="D2" s="24" t="s">
        <v>77</v>
      </c>
      <c r="E2" s="24" t="s">
        <v>78</v>
      </c>
      <c r="F2" s="24" t="s">
        <v>79</v>
      </c>
      <c r="G2" s="24" t="s">
        <v>80</v>
      </c>
      <c r="H2" s="24" t="s">
        <v>81</v>
      </c>
      <c r="I2" s="24" t="s">
        <v>284</v>
      </c>
    </row>
    <row r="3" spans="1:9" ht="54.75" x14ac:dyDescent="0.2">
      <c r="A3" s="11" t="s">
        <v>236</v>
      </c>
      <c r="B3" s="9" t="s">
        <v>235</v>
      </c>
      <c r="C3" s="12" t="s">
        <v>76</v>
      </c>
      <c r="D3" s="16" t="s">
        <v>220</v>
      </c>
      <c r="E3" s="16" t="s">
        <v>82</v>
      </c>
      <c r="F3" s="16" t="s">
        <v>83</v>
      </c>
      <c r="G3" s="16" t="s">
        <v>84</v>
      </c>
      <c r="H3" s="16" t="s">
        <v>191</v>
      </c>
      <c r="I3" s="16" t="s">
        <v>85</v>
      </c>
    </row>
    <row r="4" spans="1:9" ht="81" x14ac:dyDescent="0.2">
      <c r="A4" s="11" t="s">
        <v>86</v>
      </c>
      <c r="B4" s="10" t="s">
        <v>87</v>
      </c>
      <c r="C4" s="12" t="s">
        <v>76</v>
      </c>
      <c r="D4" s="16" t="s">
        <v>88</v>
      </c>
      <c r="E4" s="16" t="s">
        <v>89</v>
      </c>
      <c r="F4" s="16" t="s">
        <v>259</v>
      </c>
      <c r="G4" s="16" t="s">
        <v>90</v>
      </c>
      <c r="H4" s="16" t="s">
        <v>91</v>
      </c>
      <c r="I4" s="19"/>
    </row>
    <row r="5" spans="1:9" ht="54.75" x14ac:dyDescent="0.2">
      <c r="A5" s="11" t="s">
        <v>92</v>
      </c>
      <c r="B5" s="9" t="s">
        <v>197</v>
      </c>
      <c r="C5" s="12" t="s">
        <v>76</v>
      </c>
      <c r="D5" s="16" t="s">
        <v>93</v>
      </c>
      <c r="E5" s="16" t="s">
        <v>94</v>
      </c>
      <c r="F5" s="16" t="s">
        <v>95</v>
      </c>
      <c r="G5" s="16" t="s">
        <v>232</v>
      </c>
      <c r="H5" s="16" t="s">
        <v>190</v>
      </c>
      <c r="I5" s="19"/>
    </row>
    <row r="6" spans="1:9" ht="108" x14ac:dyDescent="0.2">
      <c r="A6" s="11" t="s">
        <v>96</v>
      </c>
      <c r="B6" s="10" t="s">
        <v>97</v>
      </c>
      <c r="C6" s="12" t="s">
        <v>76</v>
      </c>
      <c r="D6" s="16" t="s">
        <v>98</v>
      </c>
      <c r="E6" s="16" t="s">
        <v>99</v>
      </c>
      <c r="F6" s="16" t="s">
        <v>100</v>
      </c>
      <c r="G6" s="16" t="s">
        <v>233</v>
      </c>
      <c r="H6" s="16" t="s">
        <v>280</v>
      </c>
      <c r="I6" s="19"/>
    </row>
    <row r="7" spans="1:9" ht="41.25" x14ac:dyDescent="0.2">
      <c r="A7" s="11" t="s">
        <v>101</v>
      </c>
      <c r="B7" s="10" t="s">
        <v>102</v>
      </c>
      <c r="C7" s="12" t="s">
        <v>76</v>
      </c>
      <c r="D7" s="16" t="s">
        <v>264</v>
      </c>
      <c r="E7" s="16" t="s">
        <v>195</v>
      </c>
      <c r="F7" s="18" t="s">
        <v>222</v>
      </c>
      <c r="G7" s="16" t="s">
        <v>103</v>
      </c>
      <c r="H7" s="16"/>
      <c r="I7" s="19"/>
    </row>
    <row r="8" spans="1:9" ht="41.25" x14ac:dyDescent="0.2">
      <c r="A8" s="11" t="s">
        <v>104</v>
      </c>
      <c r="B8" s="9" t="s">
        <v>105</v>
      </c>
      <c r="C8" s="12" t="s">
        <v>76</v>
      </c>
      <c r="D8" s="16" t="s">
        <v>106</v>
      </c>
      <c r="E8" s="16" t="s">
        <v>196</v>
      </c>
      <c r="F8" s="16" t="s">
        <v>107</v>
      </c>
      <c r="G8" s="16"/>
      <c r="H8" s="16"/>
      <c r="I8" s="19"/>
    </row>
    <row r="9" spans="1:9" ht="108" x14ac:dyDescent="0.2">
      <c r="A9" s="11" t="s">
        <v>108</v>
      </c>
      <c r="B9" s="9" t="s">
        <v>109</v>
      </c>
      <c r="C9" s="12" t="s">
        <v>76</v>
      </c>
      <c r="D9" s="16" t="s">
        <v>110</v>
      </c>
      <c r="E9" s="16" t="s">
        <v>111</v>
      </c>
      <c r="F9" s="16" t="s">
        <v>112</v>
      </c>
      <c r="G9" s="16"/>
      <c r="H9" s="16"/>
      <c r="I9" s="19"/>
    </row>
    <row r="10" spans="1:9" ht="27.75" x14ac:dyDescent="0.2">
      <c r="A10" s="11" t="s">
        <v>327</v>
      </c>
      <c r="B10" s="9" t="s">
        <v>113</v>
      </c>
      <c r="C10" s="12" t="s">
        <v>76</v>
      </c>
      <c r="D10" s="16" t="s">
        <v>268</v>
      </c>
      <c r="E10" s="16" t="s">
        <v>114</v>
      </c>
      <c r="F10" s="16"/>
      <c r="G10" s="16"/>
      <c r="H10" s="16"/>
      <c r="I10" s="19"/>
    </row>
    <row r="11" spans="1:9" ht="68.25" x14ac:dyDescent="0.2">
      <c r="A11" s="11" t="s">
        <v>115</v>
      </c>
      <c r="B11" s="9" t="s">
        <v>267</v>
      </c>
      <c r="C11" s="12" t="s">
        <v>76</v>
      </c>
      <c r="D11" s="16"/>
      <c r="E11" s="16" t="s">
        <v>269</v>
      </c>
      <c r="F11" s="16"/>
      <c r="G11" s="16"/>
      <c r="H11" s="16"/>
      <c r="I11" s="19"/>
    </row>
    <row r="12" spans="1:9" ht="27.75" x14ac:dyDescent="0.2">
      <c r="A12" s="11" t="s">
        <v>116</v>
      </c>
      <c r="B12" s="9" t="s">
        <v>117</v>
      </c>
      <c r="C12" s="12" t="s">
        <v>76</v>
      </c>
      <c r="D12" s="16"/>
      <c r="E12" s="16" t="s">
        <v>118</v>
      </c>
      <c r="F12" s="18"/>
      <c r="G12" s="16"/>
      <c r="H12" s="16"/>
      <c r="I12" s="19"/>
    </row>
    <row r="13" spans="1:9" ht="27.75" x14ac:dyDescent="0.2">
      <c r="A13" s="11" t="s">
        <v>119</v>
      </c>
      <c r="B13" s="9" t="s">
        <v>120</v>
      </c>
      <c r="C13" s="12" t="s">
        <v>76</v>
      </c>
      <c r="D13" s="16"/>
      <c r="E13" s="16" t="s">
        <v>121</v>
      </c>
      <c r="F13" s="18"/>
      <c r="G13" s="16"/>
      <c r="H13" s="16"/>
      <c r="I13" s="19"/>
    </row>
    <row r="14" spans="1:9" ht="41.25" x14ac:dyDescent="0.2">
      <c r="A14" s="11" t="s">
        <v>122</v>
      </c>
      <c r="B14" s="9" t="s">
        <v>123</v>
      </c>
      <c r="C14" s="12" t="s">
        <v>124</v>
      </c>
      <c r="D14" s="16"/>
      <c r="E14" s="16" t="s">
        <v>125</v>
      </c>
      <c r="F14" s="18"/>
      <c r="G14" s="16"/>
      <c r="H14" s="16"/>
      <c r="I14" s="19"/>
    </row>
    <row r="15" spans="1:9" ht="41.25" x14ac:dyDescent="0.2">
      <c r="A15" s="11" t="s">
        <v>126</v>
      </c>
      <c r="B15" s="9" t="s">
        <v>127</v>
      </c>
      <c r="C15" s="12" t="s">
        <v>124</v>
      </c>
      <c r="D15" s="16"/>
      <c r="E15" s="16"/>
      <c r="F15" s="16"/>
      <c r="G15" s="16"/>
      <c r="H15" s="16"/>
      <c r="I15" s="19"/>
    </row>
    <row r="16" spans="1:9" ht="41.25" x14ac:dyDescent="0.2">
      <c r="A16" s="11" t="s">
        <v>128</v>
      </c>
      <c r="B16" s="9" t="s">
        <v>129</v>
      </c>
      <c r="C16" s="12" t="s">
        <v>124</v>
      </c>
      <c r="D16" s="16"/>
      <c r="E16" s="16"/>
      <c r="F16" s="16"/>
      <c r="G16" s="16"/>
      <c r="H16" s="16"/>
      <c r="I16" s="19"/>
    </row>
    <row r="17" spans="1:9" ht="54.75" x14ac:dyDescent="0.2">
      <c r="A17" s="11" t="s">
        <v>270</v>
      </c>
      <c r="B17" s="9" t="s">
        <v>272</v>
      </c>
      <c r="C17" s="12" t="s">
        <v>124</v>
      </c>
      <c r="D17" s="16"/>
      <c r="E17" s="16"/>
      <c r="F17" s="16"/>
      <c r="G17" s="16"/>
      <c r="H17" s="16"/>
      <c r="I17" s="19"/>
    </row>
    <row r="18" spans="1:9" ht="27.75" x14ac:dyDescent="0.2">
      <c r="A18" s="11" t="s">
        <v>130</v>
      </c>
      <c r="B18" s="9" t="s">
        <v>131</v>
      </c>
      <c r="C18" s="12" t="s">
        <v>132</v>
      </c>
      <c r="D18" s="16"/>
      <c r="E18" s="16"/>
      <c r="F18" s="16"/>
      <c r="G18" s="16"/>
      <c r="H18" s="16"/>
      <c r="I18" s="19"/>
    </row>
    <row r="19" spans="1:9" ht="54.75" x14ac:dyDescent="0.2">
      <c r="A19" s="11" t="s">
        <v>133</v>
      </c>
      <c r="B19" s="9" t="s">
        <v>134</v>
      </c>
      <c r="C19" s="12" t="s">
        <v>132</v>
      </c>
      <c r="D19" s="16"/>
      <c r="E19" s="16"/>
      <c r="F19" s="16"/>
      <c r="G19" s="16"/>
      <c r="H19" s="16"/>
      <c r="I19" s="19"/>
    </row>
    <row r="20" spans="1:9" ht="54.75" x14ac:dyDescent="0.2">
      <c r="A20" s="11" t="s">
        <v>135</v>
      </c>
      <c r="B20" s="9" t="s">
        <v>136</v>
      </c>
      <c r="C20" s="12" t="s">
        <v>132</v>
      </c>
      <c r="D20" s="16"/>
      <c r="E20" s="16"/>
      <c r="F20" s="16"/>
      <c r="G20" s="16"/>
      <c r="H20" s="16"/>
      <c r="I20" s="19"/>
    </row>
    <row r="21" spans="1:9" ht="41.25" x14ac:dyDescent="0.2">
      <c r="A21" s="11" t="s">
        <v>255</v>
      </c>
      <c r="B21" s="9" t="s">
        <v>256</v>
      </c>
      <c r="C21" s="12" t="s">
        <v>132</v>
      </c>
      <c r="D21" s="16"/>
      <c r="E21" s="16"/>
      <c r="F21" s="16"/>
      <c r="G21" s="16"/>
      <c r="H21" s="16"/>
      <c r="I21" s="19"/>
    </row>
    <row r="22" spans="1:9" ht="54.75" x14ac:dyDescent="0.2">
      <c r="A22" s="11" t="s">
        <v>122</v>
      </c>
      <c r="B22" s="9" t="s">
        <v>137</v>
      </c>
      <c r="C22" s="12" t="s">
        <v>132</v>
      </c>
      <c r="D22" s="16"/>
      <c r="E22" s="16"/>
      <c r="F22" s="16"/>
      <c r="G22" s="16"/>
      <c r="H22" s="16"/>
      <c r="I22" s="19"/>
    </row>
    <row r="23" spans="1:9" ht="54.75" x14ac:dyDescent="0.2">
      <c r="A23" s="11" t="s">
        <v>126</v>
      </c>
      <c r="B23" s="9" t="s">
        <v>138</v>
      </c>
      <c r="C23" s="12" t="s">
        <v>132</v>
      </c>
      <c r="D23" s="16"/>
      <c r="E23" s="16"/>
      <c r="F23" s="16"/>
      <c r="G23" s="16"/>
      <c r="H23" s="16"/>
      <c r="I23" s="19"/>
    </row>
    <row r="24" spans="1:9" ht="42" thickBot="1" x14ac:dyDescent="0.25">
      <c r="A24" s="13" t="s">
        <v>128</v>
      </c>
      <c r="B24" s="14" t="s">
        <v>139</v>
      </c>
      <c r="C24" s="15" t="s">
        <v>132</v>
      </c>
      <c r="D24" s="16"/>
      <c r="E24" s="16"/>
      <c r="F24" s="16"/>
      <c r="G24" s="16"/>
      <c r="H24" s="16"/>
      <c r="I24" s="19"/>
    </row>
    <row r="25" spans="1:9" ht="42" thickBot="1" x14ac:dyDescent="0.25">
      <c r="A25" s="13" t="s">
        <v>270</v>
      </c>
      <c r="B25" s="14" t="s">
        <v>271</v>
      </c>
      <c r="C25" s="15" t="s">
        <v>132</v>
      </c>
      <c r="D25" s="17"/>
      <c r="E25" s="17"/>
      <c r="F25" s="17"/>
      <c r="G25" s="17"/>
      <c r="H25" s="17"/>
      <c r="I25" s="2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DF489-FE6D-4819-BD1A-323DFAE597A3}">
  <dimension ref="A1:I49"/>
  <sheetViews>
    <sheetView topLeftCell="D1" workbookViewId="0">
      <pane ySplit="1" topLeftCell="D2" activePane="bottomLeft" state="frozen"/>
      <selection activeCell="B1" sqref="B1"/>
      <selection pane="bottomLeft" activeCell="F11" sqref="F11"/>
    </sheetView>
  </sheetViews>
  <sheetFormatPr defaultRowHeight="15" x14ac:dyDescent="0.2"/>
  <cols>
    <col min="1" max="1" width="19.1015625" bestFit="1" customWidth="1"/>
    <col min="2" max="7" width="30.66796875" customWidth="1"/>
  </cols>
  <sheetData>
    <row r="1" spans="1:9" ht="15.75" thickBot="1" x14ac:dyDescent="0.25">
      <c r="A1" s="39"/>
      <c r="B1" s="33" t="s">
        <v>140</v>
      </c>
      <c r="C1" s="33" t="s">
        <v>141</v>
      </c>
      <c r="D1" s="32" t="s">
        <v>142</v>
      </c>
      <c r="E1" s="79" t="s">
        <v>143</v>
      </c>
      <c r="F1" s="78" t="s">
        <v>144</v>
      </c>
      <c r="G1" s="33" t="s">
        <v>145</v>
      </c>
      <c r="I1" t="s">
        <v>192</v>
      </c>
    </row>
    <row r="2" spans="1:9" x14ac:dyDescent="0.2">
      <c r="A2" s="41" t="s">
        <v>146</v>
      </c>
      <c r="B2" s="42" t="s">
        <v>44</v>
      </c>
      <c r="C2" s="36" t="s">
        <v>34</v>
      </c>
      <c r="D2" s="37" t="s">
        <v>36</v>
      </c>
      <c r="E2" s="77" t="s">
        <v>40</v>
      </c>
      <c r="F2" s="83" t="s">
        <v>50</v>
      </c>
      <c r="G2" s="36" t="s">
        <v>60</v>
      </c>
      <c r="I2" t="s">
        <v>193</v>
      </c>
    </row>
    <row r="3" spans="1:9" x14ac:dyDescent="0.2">
      <c r="A3" s="41" t="s">
        <v>147</v>
      </c>
      <c r="B3" s="43" t="s">
        <v>21</v>
      </c>
      <c r="C3" s="35" t="s">
        <v>314</v>
      </c>
      <c r="D3" s="34" t="s">
        <v>258</v>
      </c>
      <c r="E3" s="80" t="s">
        <v>48</v>
      </c>
      <c r="F3" s="31" t="s">
        <v>330</v>
      </c>
      <c r="G3" s="35" t="s">
        <v>65</v>
      </c>
      <c r="I3" t="s">
        <v>194</v>
      </c>
    </row>
    <row r="4" spans="1:9" x14ac:dyDescent="0.2">
      <c r="A4" s="41" t="s">
        <v>148</v>
      </c>
      <c r="B4" s="35" t="s">
        <v>31</v>
      </c>
      <c r="C4" s="35" t="s">
        <v>11</v>
      </c>
      <c r="D4" s="34" t="s">
        <v>58</v>
      </c>
      <c r="E4" s="80" t="s">
        <v>38</v>
      </c>
      <c r="F4" s="34" t="s">
        <v>54</v>
      </c>
      <c r="G4" s="35" t="s">
        <v>56</v>
      </c>
      <c r="I4" t="s">
        <v>254</v>
      </c>
    </row>
    <row r="5" spans="1:9" ht="15.75" thickBot="1" x14ac:dyDescent="0.25">
      <c r="A5" s="41" t="s">
        <v>149</v>
      </c>
      <c r="B5" s="40" t="s">
        <v>67</v>
      </c>
      <c r="C5" s="40" t="s">
        <v>29</v>
      </c>
      <c r="D5" s="38" t="s">
        <v>8</v>
      </c>
      <c r="E5" s="81" t="s">
        <v>265</v>
      </c>
      <c r="F5" s="84" t="s">
        <v>42</v>
      </c>
      <c r="G5" s="82" t="s">
        <v>273</v>
      </c>
      <c r="I5" t="s">
        <v>198</v>
      </c>
    </row>
    <row r="6" spans="1:9" ht="15.75" thickBot="1" x14ac:dyDescent="0.25">
      <c r="A6" s="64" t="s">
        <v>150</v>
      </c>
      <c r="B6" s="65" t="s">
        <v>51</v>
      </c>
      <c r="C6" s="66" t="s">
        <v>18</v>
      </c>
      <c r="D6" s="67" t="s">
        <v>35</v>
      </c>
      <c r="E6" s="68" t="s">
        <v>55</v>
      </c>
      <c r="F6" s="60" t="s">
        <v>30</v>
      </c>
      <c r="G6" s="69" t="s">
        <v>59</v>
      </c>
      <c r="I6" t="s">
        <v>199</v>
      </c>
    </row>
    <row r="7" spans="1:9" ht="15.75" thickBot="1" x14ac:dyDescent="0.25">
      <c r="A7" s="44" t="s">
        <v>151</v>
      </c>
      <c r="B7" s="44" t="s">
        <v>152</v>
      </c>
      <c r="C7" s="41" t="s">
        <v>225</v>
      </c>
      <c r="D7" t="s">
        <v>153</v>
      </c>
      <c r="E7" s="41" t="s">
        <v>154</v>
      </c>
      <c r="F7" t="s">
        <v>155</v>
      </c>
      <c r="G7" s="41" t="s">
        <v>75</v>
      </c>
      <c r="I7" t="s">
        <v>203</v>
      </c>
    </row>
    <row r="8" spans="1:9" x14ac:dyDescent="0.2">
      <c r="A8" s="62" t="s">
        <v>200</v>
      </c>
      <c r="B8" s="62" t="s">
        <v>143</v>
      </c>
      <c r="C8" s="58" t="s">
        <v>144</v>
      </c>
      <c r="D8" s="62" t="s">
        <v>145</v>
      </c>
      <c r="E8" s="58" t="s">
        <v>140</v>
      </c>
      <c r="F8" s="62" t="s">
        <v>141</v>
      </c>
      <c r="G8" s="59" t="s">
        <v>142</v>
      </c>
      <c r="I8" t="s">
        <v>204</v>
      </c>
    </row>
    <row r="9" spans="1:9" x14ac:dyDescent="0.2">
      <c r="A9" s="31" t="s">
        <v>201</v>
      </c>
      <c r="B9" s="31" t="s">
        <v>144</v>
      </c>
      <c r="C9" t="s">
        <v>142</v>
      </c>
      <c r="D9" s="31" t="s">
        <v>141</v>
      </c>
      <c r="E9" t="s">
        <v>145</v>
      </c>
      <c r="F9" s="31" t="s">
        <v>140</v>
      </c>
      <c r="G9" s="43" t="s">
        <v>143</v>
      </c>
    </row>
    <row r="10" spans="1:9" ht="15.75" thickBot="1" x14ac:dyDescent="0.25">
      <c r="A10" s="63" t="s">
        <v>202</v>
      </c>
      <c r="B10" s="63" t="s">
        <v>142</v>
      </c>
      <c r="C10" s="60" t="s">
        <v>145</v>
      </c>
      <c r="D10" s="63" t="s">
        <v>140</v>
      </c>
      <c r="E10" s="60" t="s">
        <v>144</v>
      </c>
      <c r="F10" s="63" t="s">
        <v>143</v>
      </c>
      <c r="G10" s="61" t="s">
        <v>141</v>
      </c>
    </row>
    <row r="12" spans="1:9" x14ac:dyDescent="0.2">
      <c r="A12" s="3" t="s">
        <v>224</v>
      </c>
    </row>
    <row r="13" spans="1:9" x14ac:dyDescent="0.2">
      <c r="A13" s="3" t="s">
        <v>226</v>
      </c>
      <c r="B13" s="2" t="s">
        <v>317</v>
      </c>
      <c r="C13" s="2" t="s">
        <v>288</v>
      </c>
      <c r="D13" s="2" t="s">
        <v>205</v>
      </c>
      <c r="E13" s="2" t="s">
        <v>318</v>
      </c>
      <c r="F13" s="2" t="s">
        <v>212</v>
      </c>
      <c r="G13" s="2" t="s">
        <v>328</v>
      </c>
    </row>
    <row r="14" spans="1:9" x14ac:dyDescent="0.2">
      <c r="A14" s="3"/>
      <c r="B14" s="2" t="s">
        <v>205</v>
      </c>
      <c r="C14" s="2" t="s">
        <v>319</v>
      </c>
      <c r="D14" s="2" t="s">
        <v>211</v>
      </c>
      <c r="E14" s="2" t="s">
        <v>285</v>
      </c>
      <c r="F14" s="2" t="s">
        <v>320</v>
      </c>
      <c r="G14" s="2" t="s">
        <v>214</v>
      </c>
    </row>
    <row r="15" spans="1:9" x14ac:dyDescent="0.2">
      <c r="A15" s="3"/>
      <c r="B15" s="2" t="s">
        <v>321</v>
      </c>
      <c r="C15" s="2" t="s">
        <v>101</v>
      </c>
      <c r="D15" s="2" t="s">
        <v>207</v>
      </c>
      <c r="E15" s="2" t="s">
        <v>322</v>
      </c>
      <c r="F15" s="2" t="s">
        <v>323</v>
      </c>
      <c r="G15" s="2" t="s">
        <v>206</v>
      </c>
    </row>
    <row r="16" spans="1:9" ht="27.75" x14ac:dyDescent="0.2">
      <c r="A16" s="3"/>
      <c r="B16" s="2" t="s">
        <v>324</v>
      </c>
      <c r="C16" s="2" t="s">
        <v>325</v>
      </c>
      <c r="D16" s="2" t="s">
        <v>96</v>
      </c>
      <c r="E16" s="2" t="s">
        <v>101</v>
      </c>
      <c r="F16" s="2" t="s">
        <v>328</v>
      </c>
      <c r="G16" s="2" t="s">
        <v>325</v>
      </c>
    </row>
    <row r="17" spans="1:9" x14ac:dyDescent="0.2">
      <c r="A17" s="3"/>
      <c r="B17" s="2"/>
      <c r="C17" s="2"/>
      <c r="D17" s="2"/>
      <c r="E17" s="2"/>
      <c r="F17" s="2"/>
      <c r="G17" s="2"/>
    </row>
    <row r="18" spans="1:9" x14ac:dyDescent="0.2">
      <c r="A18" s="3" t="s">
        <v>227</v>
      </c>
      <c r="B18" s="2" t="s">
        <v>101</v>
      </c>
      <c r="C18" s="3" t="s">
        <v>229</v>
      </c>
      <c r="D18" s="2" t="s">
        <v>209</v>
      </c>
      <c r="E18" s="2" t="s">
        <v>287</v>
      </c>
      <c r="F18" s="2" t="s">
        <v>208</v>
      </c>
      <c r="G18" s="2" t="s">
        <v>288</v>
      </c>
      <c r="I18" t="s">
        <v>292</v>
      </c>
    </row>
    <row r="19" spans="1:9" x14ac:dyDescent="0.2">
      <c r="A19" s="3"/>
      <c r="B19" s="2" t="s">
        <v>327</v>
      </c>
      <c r="C19" s="2" t="s">
        <v>286</v>
      </c>
      <c r="D19" s="2" t="s">
        <v>205</v>
      </c>
      <c r="E19" s="2" t="s">
        <v>205</v>
      </c>
      <c r="F19" s="2" t="s">
        <v>212</v>
      </c>
      <c r="G19" s="2" t="s">
        <v>207</v>
      </c>
      <c r="I19" t="s">
        <v>210</v>
      </c>
    </row>
    <row r="20" spans="1:9" x14ac:dyDescent="0.2">
      <c r="A20" s="3"/>
      <c r="B20" s="2" t="s">
        <v>205</v>
      </c>
      <c r="C20" s="2" t="s">
        <v>289</v>
      </c>
      <c r="D20" s="2" t="s">
        <v>206</v>
      </c>
      <c r="E20" t="s">
        <v>327</v>
      </c>
      <c r="F20" s="2" t="s">
        <v>255</v>
      </c>
      <c r="G20" s="2" t="s">
        <v>214</v>
      </c>
    </row>
    <row r="21" spans="1:9" ht="27.75" x14ac:dyDescent="0.2">
      <c r="A21" s="3"/>
      <c r="B21" s="2"/>
      <c r="C21" s="2" t="s">
        <v>205</v>
      </c>
      <c r="D21" t="s">
        <v>291</v>
      </c>
      <c r="E21" s="2" t="s">
        <v>316</v>
      </c>
      <c r="F21" s="2" t="s">
        <v>206</v>
      </c>
      <c r="G21" s="2" t="s">
        <v>206</v>
      </c>
    </row>
    <row r="22" spans="1:9" x14ac:dyDescent="0.2">
      <c r="A22" s="3"/>
      <c r="B22" s="2"/>
      <c r="D22" s="2" t="s">
        <v>223</v>
      </c>
      <c r="G22" s="2"/>
    </row>
    <row r="23" spans="1:9" x14ac:dyDescent="0.2">
      <c r="A23" s="3"/>
      <c r="B23" s="2"/>
      <c r="D23" s="2"/>
      <c r="E23" s="2"/>
      <c r="F23" s="2"/>
      <c r="G23" s="2"/>
    </row>
    <row r="24" spans="1:9" ht="27.75" x14ac:dyDescent="0.2">
      <c r="A24" s="3" t="s">
        <v>228</v>
      </c>
      <c r="B24" s="2" t="s">
        <v>217</v>
      </c>
      <c r="C24" s="2" t="s">
        <v>135</v>
      </c>
      <c r="D24" s="2" t="s">
        <v>108</v>
      </c>
      <c r="E24" s="2" t="s">
        <v>213</v>
      </c>
      <c r="F24" s="2" t="s">
        <v>293</v>
      </c>
      <c r="G24" s="2" t="s">
        <v>221</v>
      </c>
      <c r="I24" t="s">
        <v>292</v>
      </c>
    </row>
    <row r="25" spans="1:9" x14ac:dyDescent="0.2">
      <c r="A25" s="3"/>
      <c r="B25" s="2" t="s">
        <v>116</v>
      </c>
      <c r="C25" s="2" t="s">
        <v>119</v>
      </c>
      <c r="D25" s="2" t="s">
        <v>217</v>
      </c>
      <c r="E25" s="2" t="s">
        <v>231</v>
      </c>
      <c r="F25" s="2" t="s">
        <v>326</v>
      </c>
      <c r="G25" s="2" t="s">
        <v>297</v>
      </c>
      <c r="I25" t="s">
        <v>210</v>
      </c>
    </row>
    <row r="26" spans="1:9" x14ac:dyDescent="0.2">
      <c r="A26" s="3"/>
      <c r="B26" s="2" t="s">
        <v>296</v>
      </c>
      <c r="C26" s="2" t="s">
        <v>133</v>
      </c>
      <c r="D26" s="2" t="s">
        <v>116</v>
      </c>
      <c r="E26" t="s">
        <v>295</v>
      </c>
      <c r="F26" s="2" t="s">
        <v>116</v>
      </c>
      <c r="G26" s="2" t="s">
        <v>215</v>
      </c>
      <c r="I26" t="s">
        <v>219</v>
      </c>
    </row>
    <row r="27" spans="1:9" x14ac:dyDescent="0.2">
      <c r="A27" s="3"/>
      <c r="B27" s="2"/>
      <c r="C27" s="2" t="s">
        <v>216</v>
      </c>
      <c r="D27" s="2" t="s">
        <v>297</v>
      </c>
      <c r="F27" s="2" t="s">
        <v>217</v>
      </c>
      <c r="G27" s="2"/>
      <c r="I27" t="s">
        <v>218</v>
      </c>
    </row>
    <row r="28" spans="1:9" x14ac:dyDescent="0.2">
      <c r="A28" s="3"/>
      <c r="B28" s="1"/>
      <c r="C28" s="1"/>
      <c r="D28" s="1"/>
      <c r="E28" s="2"/>
      <c r="F28" s="1"/>
      <c r="G28" s="1"/>
      <c r="I28" t="s">
        <v>294</v>
      </c>
    </row>
    <row r="29" spans="1:9" x14ac:dyDescent="0.2">
      <c r="A29" s="3"/>
      <c r="B29" s="1"/>
      <c r="C29" s="1"/>
      <c r="D29" s="1"/>
      <c r="E29" s="1"/>
      <c r="F29" s="1"/>
      <c r="G29" s="1"/>
      <c r="I29" t="s">
        <v>298</v>
      </c>
    </row>
    <row r="30" spans="1:9" x14ac:dyDescent="0.2">
      <c r="A30" s="3"/>
      <c r="B30" s="1"/>
      <c r="C30" s="1"/>
      <c r="D30" s="1"/>
      <c r="E30" s="1"/>
      <c r="F30" s="1"/>
      <c r="G30" s="1"/>
    </row>
    <row r="31" spans="1:9" x14ac:dyDescent="0.2">
      <c r="B31" s="1"/>
      <c r="C31" s="1"/>
      <c r="D31" s="1"/>
      <c r="E31" s="1"/>
      <c r="F31" s="1"/>
      <c r="G31" s="1"/>
    </row>
    <row r="34" spans="2:7" x14ac:dyDescent="0.2">
      <c r="B34" s="2"/>
      <c r="C34" s="2"/>
      <c r="D34" s="2"/>
      <c r="E34" s="2"/>
      <c r="F34" s="2"/>
      <c r="G34" s="2"/>
    </row>
    <row r="35" spans="2:7" x14ac:dyDescent="0.2">
      <c r="B35" s="2"/>
      <c r="C35" s="2"/>
      <c r="D35" s="2"/>
      <c r="E35" s="2"/>
      <c r="F35" s="2"/>
      <c r="G35" s="2"/>
    </row>
    <row r="36" spans="2:7" x14ac:dyDescent="0.2">
      <c r="B36" s="2"/>
      <c r="C36" s="2"/>
      <c r="D36" s="2"/>
      <c r="E36" s="2"/>
      <c r="F36" s="2"/>
      <c r="G36" s="2"/>
    </row>
    <row r="37" spans="2:7" x14ac:dyDescent="0.2">
      <c r="B37" s="2"/>
      <c r="C37" s="2"/>
      <c r="D37" s="2"/>
      <c r="E37" s="2"/>
      <c r="F37" s="2"/>
      <c r="G37" s="2"/>
    </row>
    <row r="39" spans="2:7" x14ac:dyDescent="0.2">
      <c r="B39" s="2"/>
      <c r="C39" s="2"/>
      <c r="D39" s="2"/>
      <c r="E39" s="2"/>
      <c r="F39" s="2"/>
      <c r="G39" s="2"/>
    </row>
    <row r="40" spans="2:7" x14ac:dyDescent="0.2">
      <c r="B40" s="2"/>
      <c r="C40" s="2"/>
      <c r="D40" s="2"/>
      <c r="E40" s="2"/>
      <c r="F40" s="2"/>
      <c r="G40" s="2"/>
    </row>
    <row r="41" spans="2:7" x14ac:dyDescent="0.2">
      <c r="B41" s="2"/>
      <c r="C41" s="2"/>
      <c r="D41" s="2"/>
      <c r="E41" s="2"/>
      <c r="F41" s="2"/>
      <c r="G41" s="2"/>
    </row>
    <row r="42" spans="2:7" x14ac:dyDescent="0.2">
      <c r="B42" s="2"/>
      <c r="C42" s="2"/>
      <c r="D42" s="2"/>
      <c r="E42" s="2"/>
      <c r="F42" s="2"/>
      <c r="G42" s="2"/>
    </row>
    <row r="43" spans="2:7" x14ac:dyDescent="0.2">
      <c r="B43" s="2"/>
      <c r="C43" s="2"/>
      <c r="D43" s="2"/>
      <c r="E43" s="2"/>
      <c r="F43" s="2"/>
      <c r="G43" s="2"/>
    </row>
    <row r="44" spans="2:7" x14ac:dyDescent="0.2">
      <c r="B44" s="2"/>
      <c r="C44" s="2"/>
      <c r="D44" s="2"/>
      <c r="E44" s="2"/>
      <c r="F44" s="2"/>
      <c r="G44" s="2"/>
    </row>
    <row r="45" spans="2:7" x14ac:dyDescent="0.2">
      <c r="B45" s="2"/>
      <c r="C45" s="2"/>
      <c r="D45" s="2"/>
      <c r="E45" s="2"/>
      <c r="F45" s="2"/>
      <c r="G45" s="2"/>
    </row>
    <row r="46" spans="2:7" x14ac:dyDescent="0.2">
      <c r="B46" s="2"/>
      <c r="C46" s="2"/>
      <c r="D46" s="2"/>
      <c r="E46" s="2"/>
      <c r="F46" s="2"/>
      <c r="G46" s="2"/>
    </row>
    <row r="47" spans="2:7" x14ac:dyDescent="0.2">
      <c r="B47" s="2"/>
      <c r="C47" s="2"/>
      <c r="D47" s="2"/>
      <c r="E47" s="2"/>
      <c r="F47" s="2"/>
      <c r="G47" s="2"/>
    </row>
    <row r="48" spans="2:7" x14ac:dyDescent="0.2">
      <c r="B48" s="3"/>
      <c r="C48" s="2"/>
      <c r="D48" s="2"/>
      <c r="E48" s="2"/>
      <c r="F48" s="2"/>
      <c r="G48" s="2"/>
    </row>
    <row r="49" spans="2:4" x14ac:dyDescent="0.2">
      <c r="B49" s="2"/>
      <c r="C49" s="2"/>
      <c r="D49"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D7D8-35BC-4E32-9DE8-E2E435ADAAA0}">
  <dimension ref="A1:F11"/>
  <sheetViews>
    <sheetView zoomScaleNormal="100" workbookViewId="0">
      <selection activeCell="H8" sqref="H8"/>
    </sheetView>
  </sheetViews>
  <sheetFormatPr defaultColWidth="9.14453125" defaultRowHeight="37.5" x14ac:dyDescent="0.55000000000000004"/>
  <cols>
    <col min="1" max="6" width="30.66796875" style="4" customWidth="1"/>
    <col min="7" max="16384" width="9.14453125" style="4"/>
  </cols>
  <sheetData>
    <row r="1" spans="1:6" ht="99.95" customHeight="1" thickBot="1" x14ac:dyDescent="0.6">
      <c r="A1" s="114" t="s">
        <v>158</v>
      </c>
      <c r="B1" s="115"/>
      <c r="C1" s="115"/>
      <c r="D1" s="115"/>
      <c r="E1" s="115"/>
      <c r="F1" s="116"/>
    </row>
    <row r="2" spans="1:6" ht="99.95" customHeight="1" thickBot="1" x14ac:dyDescent="0.6">
      <c r="A2" s="99" t="s">
        <v>329</v>
      </c>
      <c r="B2" s="99" t="s">
        <v>329</v>
      </c>
      <c r="C2" s="99" t="s">
        <v>329</v>
      </c>
      <c r="D2" s="99" t="s">
        <v>329</v>
      </c>
      <c r="E2" s="99" t="s">
        <v>329</v>
      </c>
      <c r="F2" s="99" t="s">
        <v>329</v>
      </c>
    </row>
    <row r="3" spans="1:6" ht="99.95" customHeight="1" thickBot="1" x14ac:dyDescent="0.6">
      <c r="A3" s="91">
        <v>0</v>
      </c>
      <c r="B3" s="92">
        <v>1</v>
      </c>
      <c r="C3" s="92">
        <v>2</v>
      </c>
      <c r="D3" s="91">
        <v>3</v>
      </c>
      <c r="E3" s="92">
        <v>4</v>
      </c>
      <c r="F3" s="91">
        <v>5</v>
      </c>
    </row>
    <row r="4" spans="1:6" ht="99.95" customHeight="1" thickBot="1" x14ac:dyDescent="0.6">
      <c r="A4" s="93">
        <v>25</v>
      </c>
      <c r="B4" s="6" t="s">
        <v>327</v>
      </c>
      <c r="C4" s="6" t="s">
        <v>104</v>
      </c>
      <c r="D4" s="7" t="s">
        <v>108</v>
      </c>
      <c r="E4" s="6" t="s">
        <v>217</v>
      </c>
      <c r="F4" s="93">
        <v>6</v>
      </c>
    </row>
    <row r="5" spans="1:6" ht="99.95" customHeight="1" thickBot="1" x14ac:dyDescent="0.6">
      <c r="A5" s="94">
        <v>24</v>
      </c>
      <c r="B5" s="5" t="s">
        <v>86</v>
      </c>
      <c r="C5" s="5" t="s">
        <v>92</v>
      </c>
      <c r="D5" s="87" t="s">
        <v>96</v>
      </c>
      <c r="E5" s="5" t="s">
        <v>101</v>
      </c>
      <c r="F5" s="93">
        <v>7</v>
      </c>
    </row>
    <row r="6" spans="1:6" ht="99.95" customHeight="1" thickBot="1" x14ac:dyDescent="0.6">
      <c r="A6" s="93">
        <v>23</v>
      </c>
      <c r="B6" s="6" t="s">
        <v>116</v>
      </c>
      <c r="C6" s="6" t="s">
        <v>119</v>
      </c>
      <c r="D6" s="7" t="s">
        <v>236</v>
      </c>
      <c r="E6" s="6" t="s">
        <v>115</v>
      </c>
      <c r="F6" s="96">
        <v>8</v>
      </c>
    </row>
    <row r="7" spans="1:6" ht="99.95" customHeight="1" thickBot="1" x14ac:dyDescent="0.6">
      <c r="A7" s="94">
        <v>22</v>
      </c>
      <c r="B7" s="8" t="s">
        <v>122</v>
      </c>
      <c r="C7" s="8" t="s">
        <v>126</v>
      </c>
      <c r="D7" s="30" t="s">
        <v>128</v>
      </c>
      <c r="E7" s="8" t="s">
        <v>270</v>
      </c>
      <c r="F7" s="93">
        <v>9</v>
      </c>
    </row>
    <row r="8" spans="1:6" ht="99.95" customHeight="1" thickBot="1" x14ac:dyDescent="0.6">
      <c r="A8" s="93">
        <v>21</v>
      </c>
      <c r="B8" s="76" t="s">
        <v>156</v>
      </c>
      <c r="C8" s="111" t="s">
        <v>157</v>
      </c>
      <c r="D8" s="112"/>
      <c r="E8" s="113"/>
      <c r="F8" s="96">
        <v>10</v>
      </c>
    </row>
    <row r="9" spans="1:6" ht="99.95" customHeight="1" thickBot="1" x14ac:dyDescent="0.6">
      <c r="A9" s="94">
        <v>20</v>
      </c>
      <c r="B9" s="85" t="s">
        <v>122</v>
      </c>
      <c r="C9" s="6" t="s">
        <v>126</v>
      </c>
      <c r="D9" s="7" t="s">
        <v>128</v>
      </c>
      <c r="E9" s="86" t="s">
        <v>270</v>
      </c>
      <c r="F9" s="93">
        <v>11</v>
      </c>
    </row>
    <row r="10" spans="1:6" ht="99.95" customHeight="1" thickBot="1" x14ac:dyDescent="0.6">
      <c r="A10" s="93">
        <v>19</v>
      </c>
      <c r="B10" s="88" t="s">
        <v>130</v>
      </c>
      <c r="C10" s="89" t="s">
        <v>133</v>
      </c>
      <c r="D10" s="90" t="s">
        <v>255</v>
      </c>
      <c r="E10" s="89" t="s">
        <v>135</v>
      </c>
      <c r="F10" s="96">
        <v>12</v>
      </c>
    </row>
    <row r="11" spans="1:6" ht="99.95" customHeight="1" thickBot="1" x14ac:dyDescent="0.6">
      <c r="A11" s="95">
        <v>18</v>
      </c>
      <c r="B11" s="97">
        <v>17</v>
      </c>
      <c r="C11" s="98">
        <v>16</v>
      </c>
      <c r="D11" s="97">
        <v>15</v>
      </c>
      <c r="E11" s="98">
        <v>14</v>
      </c>
      <c r="F11" s="93">
        <v>13</v>
      </c>
    </row>
  </sheetData>
  <mergeCells count="2">
    <mergeCell ref="C8:E8"/>
    <mergeCell ref="A1:F1"/>
  </mergeCells>
  <pageMargins left="0.7" right="0.7" top="0.75" bottom="0.75" header="0.3" footer="0.3"/>
  <pageSetup paperSize="3"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B427C-0CB4-4E8D-8367-36F6DD891282}">
  <dimension ref="A1:CA6"/>
  <sheetViews>
    <sheetView zoomScaleNormal="60" zoomScaleSheetLayoutView="100" workbookViewId="0">
      <selection activeCell="H11" sqref="H11"/>
    </sheetView>
  </sheetViews>
  <sheetFormatPr defaultColWidth="19.7734375" defaultRowHeight="15" customHeight="1" x14ac:dyDescent="0.2"/>
  <cols>
    <col min="1" max="1" width="19.7734375" style="31"/>
    <col min="2" max="2" width="19.7734375" style="43"/>
    <col min="4" max="4" width="19.7734375" style="31"/>
    <col min="6" max="6" width="19.7734375" style="31"/>
    <col min="8" max="8" width="19.7734375" style="31"/>
    <col min="10" max="10" width="19.7734375" style="31"/>
    <col min="12" max="12" width="19.7734375" style="31"/>
    <col min="14" max="14" width="19.7734375" style="31"/>
    <col min="16" max="16" width="19.7734375" style="31"/>
    <col min="18" max="18" width="19.7734375" style="31"/>
    <col min="20" max="20" width="19.7734375" style="31"/>
    <col min="22" max="22" width="19.7734375" style="31"/>
    <col min="24" max="24" width="19.7734375" style="31"/>
    <col min="26" max="26" width="19.7734375" style="31"/>
    <col min="28" max="28" width="19.7734375" style="31"/>
    <col min="30" max="30" width="19.7734375" style="49"/>
    <col min="31" max="32" width="19.7734375" style="31" bestFit="1" customWidth="1"/>
    <col min="33" max="33" width="19.7734375" bestFit="1" customWidth="1"/>
    <col min="34" max="34" width="19.7734375" style="31" bestFit="1" customWidth="1"/>
    <col min="35" max="35" width="19.7734375" bestFit="1" customWidth="1"/>
    <col min="36" max="36" width="19.7734375" style="31" bestFit="1" customWidth="1"/>
    <col min="37" max="37" width="19.7734375" bestFit="1" customWidth="1"/>
    <col min="38" max="38" width="19.7734375" style="31" bestFit="1" customWidth="1"/>
    <col min="39" max="39" width="19.7734375" bestFit="1" customWidth="1"/>
    <col min="40" max="40" width="19.7734375" style="31" bestFit="1" customWidth="1"/>
    <col min="41" max="41" width="19.7734375" customWidth="1"/>
    <col min="42" max="42" width="19.7734375" style="31" bestFit="1" customWidth="1"/>
    <col min="43" max="43" width="19.7734375" bestFit="1" customWidth="1"/>
    <col min="44" max="44" width="19.7734375" style="31" bestFit="1" customWidth="1"/>
    <col min="45" max="45" width="19.7734375" bestFit="1" customWidth="1"/>
    <col min="46" max="46" width="19.7734375" style="31" bestFit="1" customWidth="1"/>
    <col min="47" max="47" width="19.7734375" bestFit="1" customWidth="1"/>
    <col min="48" max="48" width="19.7734375" style="31" bestFit="1" customWidth="1"/>
    <col min="49" max="49" width="19.7734375" bestFit="1" customWidth="1"/>
    <col min="50" max="50" width="19.7734375" style="49" bestFit="1" customWidth="1"/>
    <col min="51" max="51" width="19.7734375" style="31" bestFit="1" customWidth="1"/>
    <col min="52" max="52" width="19.7734375" bestFit="1" customWidth="1"/>
    <col min="53" max="53" width="19.7734375" style="31" bestFit="1" customWidth="1"/>
    <col min="54" max="54" width="19.7734375" bestFit="1" customWidth="1"/>
    <col min="55" max="55" width="19.7734375" style="31" bestFit="1" customWidth="1"/>
    <col min="56" max="56" width="19.7734375" bestFit="1" customWidth="1"/>
    <col min="57" max="57" width="19.7734375" style="31" bestFit="1" customWidth="1"/>
    <col min="58" max="58" width="19.7734375" bestFit="1" customWidth="1"/>
    <col min="59" max="59" width="19.7734375" style="31" bestFit="1" customWidth="1"/>
    <col min="60" max="60" width="19.7734375" style="49" bestFit="1" customWidth="1"/>
    <col min="61" max="61" width="19.7734375" style="31"/>
    <col min="63" max="63" width="19.7734375" style="31"/>
    <col min="65" max="65" width="19.7734375" style="31"/>
    <col min="67" max="67" width="19.7734375" style="31"/>
    <col min="69" max="70" width="19.7734375" style="31"/>
    <col min="71" max="71" width="19.7734375" style="43"/>
    <col min="73" max="73" width="19.7734375" style="31"/>
    <col min="75" max="75" width="19.7734375" style="31"/>
    <col min="77" max="77" width="19.7734375" style="31"/>
    <col min="79" max="79" width="19.7734375" style="31"/>
  </cols>
  <sheetData>
    <row r="1" spans="1:79" s="47" customFormat="1" ht="39.950000000000003" customHeight="1" x14ac:dyDescent="0.3">
      <c r="A1" s="45" t="str">
        <f>Cards!A2</f>
        <v>Fillibuster</v>
      </c>
      <c r="B1" s="46" t="str">
        <f>Cards!A3</f>
        <v>Skillful Orators</v>
      </c>
      <c r="C1" s="47" t="str">
        <f>Cards!A4</f>
        <v>Collection Stations</v>
      </c>
      <c r="D1" s="45" t="str">
        <f>Cards!A5</f>
        <v>Brown Nose</v>
      </c>
      <c r="E1" s="47" t="str">
        <f>Cards!A6</f>
        <v>Mysterious Windfalls</v>
      </c>
      <c r="F1" s="45" t="str">
        <f>Cards!A7</f>
        <v>Lobbyists</v>
      </c>
      <c r="G1" s="47" t="str">
        <f>Cards!A8</f>
        <v>Loyal Citizenry</v>
      </c>
      <c r="H1" s="45" t="str">
        <f>Cards!A9</f>
        <v>Silver-Tongue</v>
      </c>
      <c r="I1" s="47" t="str">
        <f>Cards!A8</f>
        <v>Loyal Citizenry</v>
      </c>
      <c r="J1" s="45" t="str">
        <f>Cards!A9</f>
        <v>Silver-Tongue</v>
      </c>
      <c r="K1" s="47" t="str">
        <f>Cards!A10</f>
        <v>Royal Bribes</v>
      </c>
      <c r="L1" s="45" t="str">
        <f>Cards!A11</f>
        <v>Courtroom Gambling</v>
      </c>
      <c r="M1" s="47" t="str">
        <f>Cards!A12</f>
        <v>Market Niche</v>
      </c>
      <c r="N1" s="45" t="str">
        <f>Cards!A13</f>
        <v>Genius Commanders</v>
      </c>
      <c r="O1" s="47" t="str">
        <f>Cards!A14</f>
        <v>Damage Redemption</v>
      </c>
      <c r="P1" s="45" t="str">
        <f>Cards!A15</f>
        <v>Inspiring Command</v>
      </c>
      <c r="Q1" s="47" t="str">
        <f>Cards!A16</f>
        <v>Undeniable Advisors</v>
      </c>
      <c r="R1" s="45" t="str">
        <f>Cards!A17</f>
        <v>Bulk Purchaser</v>
      </c>
      <c r="S1" s="47" t="str">
        <f>Cards!A18</f>
        <v>Valuable Cargo</v>
      </c>
      <c r="T1" s="45" t="str">
        <f>Cards!A19</f>
        <v>Elite Troops</v>
      </c>
      <c r="U1" s="47" t="str">
        <f>Cards!A20</f>
        <v>Bazaar</v>
      </c>
      <c r="V1" s="45" t="str">
        <f>Cards!A21</f>
        <v>Caravansaray</v>
      </c>
      <c r="W1" s="47" t="str">
        <f>Cards!A22</f>
        <v>War Machines</v>
      </c>
      <c r="X1" s="45" t="str">
        <f>Cards!A23</f>
        <v>Boasting Propaganda</v>
      </c>
      <c r="Y1" s="47" t="str">
        <f>Cards!A24</f>
        <v>Mock Trials</v>
      </c>
      <c r="Z1" s="45" t="str">
        <f>Cards!A25</f>
        <v>Eager Laborers</v>
      </c>
      <c r="AA1" s="47" t="str">
        <f>Cards!A26</f>
        <v>Wary Guards</v>
      </c>
      <c r="AB1" s="45" t="str">
        <f>Cards!A27</f>
        <v>Information Security</v>
      </c>
      <c r="AC1" s="47" t="str">
        <f>Cards!A28</f>
        <v>Blood Pact</v>
      </c>
      <c r="AD1" s="48" t="str">
        <f>Cards!A29</f>
        <v>Expert Broker</v>
      </c>
      <c r="AE1" s="45" t="str">
        <f>Cards!A30</f>
        <v>Codependent Relationship</v>
      </c>
      <c r="AF1" s="45" t="str">
        <f>Cards!A31</f>
        <v>Dangerous Promises</v>
      </c>
      <c r="AG1" s="47" t="str">
        <f>Cards!A32</f>
        <v>Large Middle Class</v>
      </c>
      <c r="AH1" s="45" t="str">
        <f>Cards!A33</f>
        <v>Innovation Hub</v>
      </c>
      <c r="AI1" s="47" t="str">
        <f>Cards!A34</f>
        <v>Fire Temple</v>
      </c>
      <c r="AJ1" s="45" t="str">
        <f>Cards!A35</f>
        <v>Kingdom Advocates</v>
      </c>
      <c r="AK1" s="47" t="str">
        <f>Cards!A36</f>
        <v>One Man's Trash</v>
      </c>
      <c r="AL1" s="45" t="str">
        <f>Cards!A37</f>
        <v>Abusive Power</v>
      </c>
      <c r="AM1" s="47" t="str">
        <f>Cards!A38</f>
        <v>Painful Progress</v>
      </c>
      <c r="AN1" s="45" t="str">
        <f>Cards!A39</f>
        <v>Iron Command</v>
      </c>
      <c r="AO1" s="47" t="str">
        <f t="shared" ref="AO1:AX2" si="0">A1</f>
        <v>Fillibuster</v>
      </c>
      <c r="AP1" s="45" t="str">
        <f t="shared" si="0"/>
        <v>Skillful Orators</v>
      </c>
      <c r="AQ1" s="47" t="str">
        <f t="shared" si="0"/>
        <v>Collection Stations</v>
      </c>
      <c r="AR1" s="45" t="str">
        <f t="shared" si="0"/>
        <v>Brown Nose</v>
      </c>
      <c r="AS1" s="47" t="str">
        <f t="shared" si="0"/>
        <v>Mysterious Windfalls</v>
      </c>
      <c r="AT1" s="45" t="str">
        <f t="shared" si="0"/>
        <v>Lobbyists</v>
      </c>
      <c r="AU1" s="47" t="str">
        <f t="shared" si="0"/>
        <v>Loyal Citizenry</v>
      </c>
      <c r="AV1" s="45" t="str">
        <f t="shared" si="0"/>
        <v>Silver-Tongue</v>
      </c>
      <c r="AW1" s="47" t="str">
        <f t="shared" si="0"/>
        <v>Loyal Citizenry</v>
      </c>
      <c r="AX1" s="48" t="str">
        <f t="shared" si="0"/>
        <v>Silver-Tongue</v>
      </c>
      <c r="AY1" s="45" t="str">
        <f t="shared" ref="AY1:BH2" si="1">K1</f>
        <v>Royal Bribes</v>
      </c>
      <c r="AZ1" s="47" t="str">
        <f t="shared" si="1"/>
        <v>Courtroom Gambling</v>
      </c>
      <c r="BA1" s="45" t="str">
        <f t="shared" si="1"/>
        <v>Market Niche</v>
      </c>
      <c r="BB1" s="47" t="str">
        <f t="shared" si="1"/>
        <v>Genius Commanders</v>
      </c>
      <c r="BC1" s="45" t="str">
        <f t="shared" si="1"/>
        <v>Damage Redemption</v>
      </c>
      <c r="BD1" s="47" t="str">
        <f t="shared" si="1"/>
        <v>Inspiring Command</v>
      </c>
      <c r="BE1" s="45" t="str">
        <f t="shared" si="1"/>
        <v>Undeniable Advisors</v>
      </c>
      <c r="BF1" s="47" t="str">
        <f t="shared" si="1"/>
        <v>Bulk Purchaser</v>
      </c>
      <c r="BG1" s="45" t="str">
        <f t="shared" si="1"/>
        <v>Valuable Cargo</v>
      </c>
      <c r="BH1" s="48" t="str">
        <f t="shared" si="1"/>
        <v>Elite Troops</v>
      </c>
      <c r="BI1" s="45" t="str">
        <f t="shared" ref="BI1:BR2" si="2">U1</f>
        <v>Bazaar</v>
      </c>
      <c r="BJ1" s="47" t="str">
        <f t="shared" si="2"/>
        <v>Caravansaray</v>
      </c>
      <c r="BK1" s="45" t="str">
        <f t="shared" si="2"/>
        <v>War Machines</v>
      </c>
      <c r="BL1" s="47" t="str">
        <f t="shared" si="2"/>
        <v>Boasting Propaganda</v>
      </c>
      <c r="BM1" s="45" t="str">
        <f t="shared" si="2"/>
        <v>Mock Trials</v>
      </c>
      <c r="BN1" s="47" t="str">
        <f t="shared" si="2"/>
        <v>Eager Laborers</v>
      </c>
      <c r="BO1" s="45" t="str">
        <f t="shared" si="2"/>
        <v>Wary Guards</v>
      </c>
      <c r="BP1" s="47" t="str">
        <f t="shared" si="2"/>
        <v>Information Security</v>
      </c>
      <c r="BQ1" s="45" t="str">
        <f t="shared" si="2"/>
        <v>Blood Pact</v>
      </c>
      <c r="BR1" s="45" t="str">
        <f t="shared" si="2"/>
        <v>Expert Broker</v>
      </c>
      <c r="BS1" s="45"/>
      <c r="BU1" s="45"/>
      <c r="BW1" s="45"/>
      <c r="BY1" s="45"/>
      <c r="CA1" s="45"/>
    </row>
    <row r="2" spans="1:79" s="70" customFormat="1" ht="105.75" customHeight="1" thickBot="1" x14ac:dyDescent="0.25">
      <c r="A2" s="71" t="e">
        <f>Cards!#REF!</f>
        <v>#REF!</v>
      </c>
      <c r="B2" s="71" t="e">
        <f>Cards!#REF!</f>
        <v>#REF!</v>
      </c>
      <c r="C2" s="70" t="e">
        <f>Cards!#REF!</f>
        <v>#REF!</v>
      </c>
      <c r="D2" s="71" t="e">
        <f>Cards!#REF!</f>
        <v>#REF!</v>
      </c>
      <c r="E2" s="70" t="e">
        <f>Cards!#REF!</f>
        <v>#REF!</v>
      </c>
      <c r="F2" s="71" t="e">
        <f>Cards!#REF!</f>
        <v>#REF!</v>
      </c>
      <c r="G2" s="70" t="e">
        <f>Cards!#REF!</f>
        <v>#REF!</v>
      </c>
      <c r="H2" s="71" t="e">
        <f>Cards!#REF!</f>
        <v>#REF!</v>
      </c>
      <c r="I2" s="71" t="e">
        <f>Cards!#REF!</f>
        <v>#REF!</v>
      </c>
      <c r="J2" s="71" t="e">
        <f>Cards!#REF!</f>
        <v>#REF!</v>
      </c>
      <c r="K2" s="70" t="e">
        <f>Cards!#REF!</f>
        <v>#REF!</v>
      </c>
      <c r="L2" s="71" t="e">
        <f>Cards!#REF!</f>
        <v>#REF!</v>
      </c>
      <c r="M2" s="70" t="e">
        <f>Cards!#REF!</f>
        <v>#REF!</v>
      </c>
      <c r="N2" s="71" t="e">
        <f>Cards!#REF!</f>
        <v>#REF!</v>
      </c>
      <c r="O2" s="70" t="e">
        <f>Cards!#REF!</f>
        <v>#REF!</v>
      </c>
      <c r="P2" s="71" t="e">
        <f>Cards!#REF!</f>
        <v>#REF!</v>
      </c>
      <c r="Q2" s="70" t="e">
        <f>Cards!#REF!</f>
        <v>#REF!</v>
      </c>
      <c r="R2" s="71" t="e">
        <f>Cards!#REF!</f>
        <v>#REF!</v>
      </c>
      <c r="S2" s="70" t="e">
        <f>Cards!#REF!</f>
        <v>#REF!</v>
      </c>
      <c r="T2" s="71" t="e">
        <f>Cards!#REF!</f>
        <v>#REF!</v>
      </c>
      <c r="U2" s="70" t="e">
        <f>Cards!#REF!</f>
        <v>#REF!</v>
      </c>
      <c r="V2" s="71" t="e">
        <f>Cards!#REF!</f>
        <v>#REF!</v>
      </c>
      <c r="W2" s="70" t="e">
        <f>Cards!#REF!</f>
        <v>#REF!</v>
      </c>
      <c r="X2" s="71" t="e">
        <f>Cards!#REF!</f>
        <v>#REF!</v>
      </c>
      <c r="Y2" s="70" t="e">
        <f>Cards!#REF!</f>
        <v>#REF!</v>
      </c>
      <c r="Z2" s="71" t="e">
        <f>Cards!#REF!</f>
        <v>#REF!</v>
      </c>
      <c r="AA2" s="70" t="e">
        <f>Cards!#REF!</f>
        <v>#REF!</v>
      </c>
      <c r="AB2" s="71" t="e">
        <f>Cards!#REF!</f>
        <v>#REF!</v>
      </c>
      <c r="AC2" s="70" t="e">
        <f>Cards!#REF!</f>
        <v>#REF!</v>
      </c>
      <c r="AD2" s="72" t="e">
        <f>Cards!#REF!</f>
        <v>#REF!</v>
      </c>
      <c r="AE2" s="71" t="e">
        <f>Cards!#REF!</f>
        <v>#REF!</v>
      </c>
      <c r="AF2" s="71" t="e">
        <f>Cards!#REF!</f>
        <v>#REF!</v>
      </c>
      <c r="AG2" s="70" t="e">
        <f>Cards!#REF!</f>
        <v>#REF!</v>
      </c>
      <c r="AH2" s="71" t="e">
        <f>Cards!#REF!</f>
        <v>#REF!</v>
      </c>
      <c r="AI2" s="70" t="e">
        <f>Cards!#REF!</f>
        <v>#REF!</v>
      </c>
      <c r="AJ2" s="71" t="e">
        <f>Cards!#REF!</f>
        <v>#REF!</v>
      </c>
      <c r="AK2" s="70" t="e">
        <f>Cards!#REF!</f>
        <v>#REF!</v>
      </c>
      <c r="AL2" s="71" t="e">
        <f>Cards!#REF!</f>
        <v>#REF!</v>
      </c>
      <c r="AM2" s="70" t="e">
        <f>Cards!#REF!</f>
        <v>#REF!</v>
      </c>
      <c r="AN2" s="71" t="e">
        <f>Cards!#REF!</f>
        <v>#REF!</v>
      </c>
      <c r="AO2" s="70" t="e">
        <f t="shared" si="0"/>
        <v>#REF!</v>
      </c>
      <c r="AP2" s="71" t="e">
        <f t="shared" si="0"/>
        <v>#REF!</v>
      </c>
      <c r="AQ2" s="70" t="e">
        <f t="shared" si="0"/>
        <v>#REF!</v>
      </c>
      <c r="AR2" s="71" t="e">
        <f t="shared" si="0"/>
        <v>#REF!</v>
      </c>
      <c r="AS2" s="70" t="e">
        <f t="shared" si="0"/>
        <v>#REF!</v>
      </c>
      <c r="AT2" s="71" t="e">
        <f t="shared" si="0"/>
        <v>#REF!</v>
      </c>
      <c r="AU2" s="70" t="e">
        <f t="shared" si="0"/>
        <v>#REF!</v>
      </c>
      <c r="AV2" s="71" t="e">
        <f t="shared" si="0"/>
        <v>#REF!</v>
      </c>
      <c r="AW2" s="70" t="e">
        <f t="shared" si="0"/>
        <v>#REF!</v>
      </c>
      <c r="AX2" s="72" t="e">
        <f t="shared" si="0"/>
        <v>#REF!</v>
      </c>
      <c r="AY2" s="71" t="e">
        <f t="shared" si="1"/>
        <v>#REF!</v>
      </c>
      <c r="AZ2" s="70" t="e">
        <f t="shared" si="1"/>
        <v>#REF!</v>
      </c>
      <c r="BA2" s="71" t="e">
        <f t="shared" si="1"/>
        <v>#REF!</v>
      </c>
      <c r="BB2" s="70" t="e">
        <f t="shared" si="1"/>
        <v>#REF!</v>
      </c>
      <c r="BC2" s="71" t="e">
        <f t="shared" si="1"/>
        <v>#REF!</v>
      </c>
      <c r="BD2" s="70" t="e">
        <f t="shared" si="1"/>
        <v>#REF!</v>
      </c>
      <c r="BE2" s="71" t="e">
        <f t="shared" si="1"/>
        <v>#REF!</v>
      </c>
      <c r="BF2" s="70" t="e">
        <f t="shared" si="1"/>
        <v>#REF!</v>
      </c>
      <c r="BG2" s="71" t="e">
        <f t="shared" si="1"/>
        <v>#REF!</v>
      </c>
      <c r="BH2" s="72" t="e">
        <f t="shared" si="1"/>
        <v>#REF!</v>
      </c>
      <c r="BI2" s="71" t="e">
        <f t="shared" si="2"/>
        <v>#REF!</v>
      </c>
      <c r="BJ2" s="70" t="e">
        <f t="shared" si="2"/>
        <v>#REF!</v>
      </c>
      <c r="BK2" s="71" t="e">
        <f t="shared" si="2"/>
        <v>#REF!</v>
      </c>
      <c r="BL2" s="70" t="e">
        <f t="shared" si="2"/>
        <v>#REF!</v>
      </c>
      <c r="BM2" s="71" t="e">
        <f t="shared" si="2"/>
        <v>#REF!</v>
      </c>
      <c r="BN2" s="70" t="e">
        <f t="shared" si="2"/>
        <v>#REF!</v>
      </c>
      <c r="BO2" s="71" t="e">
        <f t="shared" si="2"/>
        <v>#REF!</v>
      </c>
      <c r="BP2" s="70" t="e">
        <f t="shared" si="2"/>
        <v>#REF!</v>
      </c>
      <c r="BQ2" s="50" t="e">
        <f t="shared" si="2"/>
        <v>#REF!</v>
      </c>
      <c r="BR2" s="71" t="e">
        <f t="shared" si="2"/>
        <v>#REF!</v>
      </c>
      <c r="BS2" s="50"/>
      <c r="BU2" s="71"/>
      <c r="BW2" s="71"/>
      <c r="BY2" s="71"/>
      <c r="CA2" s="71"/>
    </row>
    <row r="3" spans="1:79" s="47" customFormat="1" ht="39.950000000000003" customHeight="1" x14ac:dyDescent="0.3">
      <c r="A3" s="45" t="str">
        <f>Cards!C2</f>
        <v>Full Coffers</v>
      </c>
      <c r="B3" s="46" t="str">
        <f>Cards!C3</f>
        <v xml:space="preserve">Decentralized Wealth </v>
      </c>
      <c r="C3" s="47" t="str">
        <f>Cards!C4</f>
        <v>Second Thoughts</v>
      </c>
      <c r="D3" s="45" t="str">
        <f>Cards!C5</f>
        <v>Changing Times</v>
      </c>
      <c r="E3" s="47" t="str">
        <f>Cards!C6</f>
        <v>Stable Economies</v>
      </c>
      <c r="F3" s="45" t="str">
        <f>Cards!C7</f>
        <v>Unreasonable Distractions</v>
      </c>
      <c r="G3" s="47" t="str">
        <f>Cards!C8</f>
        <v>Irregular Partiality</v>
      </c>
      <c r="H3" s="45" t="str">
        <f>Cards!C9</f>
        <v>Royal Amendment</v>
      </c>
      <c r="I3" s="47" t="str">
        <f>Cards!C10</f>
        <v>Honorable Accountability</v>
      </c>
      <c r="J3" s="45" t="str">
        <f>Cards!C11</f>
        <v>Frivolous Pursuits</v>
      </c>
      <c r="K3" s="47" t="str">
        <f>Cards!C12</f>
        <v>Economic Backbone</v>
      </c>
      <c r="L3" s="45" t="str">
        <f>Cards!C13</f>
        <v>Collective Ownership</v>
      </c>
      <c r="M3" s="47" t="str">
        <f>Cards!C14</f>
        <v>Aggressive Tactics</v>
      </c>
      <c r="N3" s="45" t="str">
        <f>Cards!C15</f>
        <v>Home Defense</v>
      </c>
      <c r="O3" s="47" t="str">
        <f>Cards!C16</f>
        <v>Valuable Advisors</v>
      </c>
      <c r="P3" s="45" t="str">
        <f>Cards!C17</f>
        <v>Chattering Windbags</v>
      </c>
      <c r="Q3" s="47" t="str">
        <f>Cards!C18</f>
        <v>Realistic Priorities</v>
      </c>
      <c r="R3" s="45" t="str">
        <f>Cards!C19</f>
        <v>Threat to the Throne</v>
      </c>
      <c r="S3" s="47" t="str">
        <f>Cards!C20</f>
        <v>Stone Foundations</v>
      </c>
      <c r="T3" s="45" t="str">
        <f>Cards!C21</f>
        <v>Environmental Guardians</v>
      </c>
      <c r="U3" s="47" t="str">
        <f>Cards!C22</f>
        <v>Resilient Officer Corps</v>
      </c>
      <c r="V3" s="45" t="str">
        <f>Cards!C23</f>
        <v>Bloated Bureaucracy</v>
      </c>
      <c r="W3" s="47" t="str">
        <f>Cards!C24</f>
        <v>Police Force</v>
      </c>
      <c r="X3" s="45" t="str">
        <f>Cards!C25</f>
        <v>Equal Partners</v>
      </c>
      <c r="Y3" s="47" t="str">
        <f>Cards!C26</f>
        <v>Criminal Identification</v>
      </c>
      <c r="Z3" s="45" t="str">
        <f>Cards!C27</f>
        <v>Honorable Marketplace</v>
      </c>
      <c r="AA3" s="47" t="str">
        <f>Cards!C28</f>
        <v>Engaged Empire</v>
      </c>
      <c r="AB3" s="45" t="str">
        <f>Cards!C29</f>
        <v>Suspicious Advisors</v>
      </c>
      <c r="AC3" s="47" t="str">
        <f>Cards!C30</f>
        <v>Contingency Plans</v>
      </c>
      <c r="AD3" s="48" t="str">
        <f>Cards!C31</f>
        <v>Worthless Procrastinators</v>
      </c>
      <c r="AE3" s="45" t="str">
        <f>Cards!C32</f>
        <v>Stalled Front</v>
      </c>
      <c r="AF3" s="45" t="str">
        <f>Cards!C33</f>
        <v>Quality Strength</v>
      </c>
      <c r="AG3" s="47" t="str">
        <f t="shared" ref="AG3:BL3" si="3">A3</f>
        <v>Full Coffers</v>
      </c>
      <c r="AH3" s="45" t="str">
        <f t="shared" si="3"/>
        <v xml:space="preserve">Decentralized Wealth </v>
      </c>
      <c r="AI3" s="47" t="str">
        <f t="shared" si="3"/>
        <v>Second Thoughts</v>
      </c>
      <c r="AJ3" s="45" t="str">
        <f t="shared" si="3"/>
        <v>Changing Times</v>
      </c>
      <c r="AK3" s="47" t="str">
        <f t="shared" si="3"/>
        <v>Stable Economies</v>
      </c>
      <c r="AL3" s="45" t="str">
        <f t="shared" si="3"/>
        <v>Unreasonable Distractions</v>
      </c>
      <c r="AM3" s="47" t="str">
        <f t="shared" si="3"/>
        <v>Irregular Partiality</v>
      </c>
      <c r="AN3" s="45" t="str">
        <f t="shared" si="3"/>
        <v>Royal Amendment</v>
      </c>
      <c r="AO3" s="47" t="str">
        <f t="shared" si="3"/>
        <v>Honorable Accountability</v>
      </c>
      <c r="AP3" s="45" t="str">
        <f t="shared" si="3"/>
        <v>Frivolous Pursuits</v>
      </c>
      <c r="AQ3" s="47" t="str">
        <f t="shared" si="3"/>
        <v>Economic Backbone</v>
      </c>
      <c r="AR3" s="45" t="str">
        <f t="shared" si="3"/>
        <v>Collective Ownership</v>
      </c>
      <c r="AS3" s="47" t="str">
        <f t="shared" si="3"/>
        <v>Aggressive Tactics</v>
      </c>
      <c r="AT3" s="45" t="str">
        <f t="shared" si="3"/>
        <v>Home Defense</v>
      </c>
      <c r="AU3" s="47" t="str">
        <f t="shared" si="3"/>
        <v>Valuable Advisors</v>
      </c>
      <c r="AV3" s="45" t="str">
        <f t="shared" si="3"/>
        <v>Chattering Windbags</v>
      </c>
      <c r="AW3" s="47" t="str">
        <f t="shared" si="3"/>
        <v>Realistic Priorities</v>
      </c>
      <c r="AX3" s="48" t="str">
        <f t="shared" si="3"/>
        <v>Threat to the Throne</v>
      </c>
      <c r="AY3" s="45" t="str">
        <f t="shared" si="3"/>
        <v>Stone Foundations</v>
      </c>
      <c r="AZ3" s="47" t="str">
        <f t="shared" si="3"/>
        <v>Environmental Guardians</v>
      </c>
      <c r="BA3" s="45" t="str">
        <f t="shared" si="3"/>
        <v>Resilient Officer Corps</v>
      </c>
      <c r="BB3" s="47" t="str">
        <f t="shared" si="3"/>
        <v>Bloated Bureaucracy</v>
      </c>
      <c r="BC3" s="45" t="str">
        <f t="shared" si="3"/>
        <v>Police Force</v>
      </c>
      <c r="BD3" s="47" t="str">
        <f t="shared" si="3"/>
        <v>Equal Partners</v>
      </c>
      <c r="BE3" s="45" t="str">
        <f t="shared" si="3"/>
        <v>Criminal Identification</v>
      </c>
      <c r="BF3" s="47" t="str">
        <f t="shared" si="3"/>
        <v>Honorable Marketplace</v>
      </c>
      <c r="BG3" s="45" t="str">
        <f t="shared" si="3"/>
        <v>Engaged Empire</v>
      </c>
      <c r="BH3" s="48" t="str">
        <f t="shared" si="3"/>
        <v>Suspicious Advisors</v>
      </c>
      <c r="BI3" s="45" t="str">
        <f t="shared" si="3"/>
        <v>Contingency Plans</v>
      </c>
      <c r="BJ3" s="47" t="str">
        <f t="shared" si="3"/>
        <v>Worthless Procrastinators</v>
      </c>
      <c r="BK3" s="45" t="str">
        <f t="shared" si="3"/>
        <v>Stalled Front</v>
      </c>
      <c r="BL3" s="47" t="str">
        <f t="shared" si="3"/>
        <v>Quality Strength</v>
      </c>
      <c r="BM3" s="45"/>
      <c r="BN3" s="47" t="str">
        <f t="shared" ref="BN3:BR4" si="4">AJ1</f>
        <v>Kingdom Advocates</v>
      </c>
      <c r="BO3" s="45" t="str">
        <f t="shared" si="4"/>
        <v>One Man's Trash</v>
      </c>
      <c r="BP3" s="47" t="str">
        <f t="shared" si="4"/>
        <v>Abusive Power</v>
      </c>
      <c r="BQ3" s="45" t="str">
        <f t="shared" si="4"/>
        <v>Painful Progress</v>
      </c>
      <c r="BR3" s="45" t="str">
        <f t="shared" si="4"/>
        <v>Iron Command</v>
      </c>
      <c r="BS3" s="46"/>
      <c r="BU3" s="45"/>
      <c r="BW3" s="45"/>
      <c r="BY3" s="45"/>
      <c r="CA3" s="45"/>
    </row>
    <row r="4" spans="1:79" s="52" customFormat="1" ht="105.75" customHeight="1" thickBot="1" x14ac:dyDescent="0.25">
      <c r="A4" s="50" t="e">
        <f>Cards!#REF!</f>
        <v>#REF!</v>
      </c>
      <c r="B4" s="51" t="e">
        <f>Cards!#REF!</f>
        <v>#REF!</v>
      </c>
      <c r="C4" s="52" t="e">
        <f>Cards!#REF!</f>
        <v>#REF!</v>
      </c>
      <c r="D4" s="50" t="e">
        <f>Cards!#REF!</f>
        <v>#REF!</v>
      </c>
      <c r="E4" s="52" t="e">
        <f>Cards!#REF!</f>
        <v>#REF!</v>
      </c>
      <c r="F4" s="50" t="e">
        <f>Cards!#REF!</f>
        <v>#REF!</v>
      </c>
      <c r="G4" s="52" t="e">
        <f>Cards!#REF!</f>
        <v>#REF!</v>
      </c>
      <c r="H4" s="50" t="e">
        <f>Cards!#REF!</f>
        <v>#REF!</v>
      </c>
      <c r="I4" s="52" t="e">
        <f>Cards!#REF!</f>
        <v>#REF!</v>
      </c>
      <c r="J4" s="50" t="e">
        <f>Cards!#REF!</f>
        <v>#REF!</v>
      </c>
      <c r="K4" s="52" t="e">
        <f>Cards!#REF!</f>
        <v>#REF!</v>
      </c>
      <c r="L4" s="50" t="e">
        <f>Cards!#REF!</f>
        <v>#REF!</v>
      </c>
      <c r="M4" s="52" t="e">
        <f>Cards!#REF!</f>
        <v>#REF!</v>
      </c>
      <c r="N4" s="50" t="e">
        <f>Cards!#REF!</f>
        <v>#REF!</v>
      </c>
      <c r="O4" s="52" t="e">
        <f>Cards!#REF!</f>
        <v>#REF!</v>
      </c>
      <c r="P4" s="50" t="e">
        <f>Cards!#REF!</f>
        <v>#REF!</v>
      </c>
      <c r="Q4" s="52" t="e">
        <f>Cards!#REF!</f>
        <v>#REF!</v>
      </c>
      <c r="R4" s="50" t="e">
        <f>Cards!#REF!</f>
        <v>#REF!</v>
      </c>
      <c r="S4" s="52" t="e">
        <f>Cards!#REF!</f>
        <v>#REF!</v>
      </c>
      <c r="T4" s="50" t="e">
        <f>Cards!#REF!</f>
        <v>#REF!</v>
      </c>
      <c r="U4" s="52" t="e">
        <f>Cards!#REF!</f>
        <v>#REF!</v>
      </c>
      <c r="V4" s="50" t="e">
        <f>Cards!#REF!</f>
        <v>#REF!</v>
      </c>
      <c r="W4" s="52" t="e">
        <f>Cards!#REF!</f>
        <v>#REF!</v>
      </c>
      <c r="X4" s="50" t="e">
        <f>Cards!#REF!</f>
        <v>#REF!</v>
      </c>
      <c r="Y4" s="52" t="e">
        <f>Cards!#REF!</f>
        <v>#REF!</v>
      </c>
      <c r="Z4" s="50" t="e">
        <f>Cards!#REF!</f>
        <v>#REF!</v>
      </c>
      <c r="AA4" s="52" t="e">
        <f>Cards!#REF!</f>
        <v>#REF!</v>
      </c>
      <c r="AB4" s="50" t="e">
        <f>Cards!#REF!</f>
        <v>#REF!</v>
      </c>
      <c r="AC4" s="52" t="e">
        <f>Cards!#REF!</f>
        <v>#REF!</v>
      </c>
      <c r="AD4" s="53" t="e">
        <f>Cards!#REF!</f>
        <v>#REF!</v>
      </c>
      <c r="AE4" s="50" t="e">
        <f>Cards!#REF!</f>
        <v>#REF!</v>
      </c>
      <c r="AF4" s="50" t="e">
        <f>Cards!#REF!</f>
        <v>#REF!</v>
      </c>
      <c r="AG4" s="52" t="e">
        <f t="shared" ref="AG4:BL4" si="5">A4</f>
        <v>#REF!</v>
      </c>
      <c r="AH4" s="50" t="e">
        <f t="shared" si="5"/>
        <v>#REF!</v>
      </c>
      <c r="AI4" s="52" t="e">
        <f t="shared" si="5"/>
        <v>#REF!</v>
      </c>
      <c r="AJ4" s="50" t="e">
        <f t="shared" si="5"/>
        <v>#REF!</v>
      </c>
      <c r="AK4" s="52" t="e">
        <f t="shared" si="5"/>
        <v>#REF!</v>
      </c>
      <c r="AL4" s="50" t="e">
        <f t="shared" si="5"/>
        <v>#REF!</v>
      </c>
      <c r="AM4" s="52" t="e">
        <f t="shared" si="5"/>
        <v>#REF!</v>
      </c>
      <c r="AN4" s="50" t="e">
        <f t="shared" si="5"/>
        <v>#REF!</v>
      </c>
      <c r="AO4" s="52" t="e">
        <f t="shared" si="5"/>
        <v>#REF!</v>
      </c>
      <c r="AP4" s="50" t="e">
        <f t="shared" si="5"/>
        <v>#REF!</v>
      </c>
      <c r="AQ4" s="52" t="e">
        <f t="shared" si="5"/>
        <v>#REF!</v>
      </c>
      <c r="AR4" s="50" t="e">
        <f t="shared" si="5"/>
        <v>#REF!</v>
      </c>
      <c r="AS4" s="52" t="e">
        <f t="shared" si="5"/>
        <v>#REF!</v>
      </c>
      <c r="AT4" s="50" t="e">
        <f t="shared" si="5"/>
        <v>#REF!</v>
      </c>
      <c r="AU4" s="52" t="e">
        <f t="shared" si="5"/>
        <v>#REF!</v>
      </c>
      <c r="AV4" s="50" t="e">
        <f t="shared" si="5"/>
        <v>#REF!</v>
      </c>
      <c r="AW4" s="52" t="e">
        <f t="shared" si="5"/>
        <v>#REF!</v>
      </c>
      <c r="AX4" s="53" t="e">
        <f t="shared" si="5"/>
        <v>#REF!</v>
      </c>
      <c r="AY4" s="50" t="e">
        <f t="shared" si="5"/>
        <v>#REF!</v>
      </c>
      <c r="AZ4" s="52" t="e">
        <f t="shared" si="5"/>
        <v>#REF!</v>
      </c>
      <c r="BA4" s="50" t="e">
        <f t="shared" si="5"/>
        <v>#REF!</v>
      </c>
      <c r="BB4" s="52" t="e">
        <f t="shared" si="5"/>
        <v>#REF!</v>
      </c>
      <c r="BC4" s="50" t="e">
        <f t="shared" si="5"/>
        <v>#REF!</v>
      </c>
      <c r="BD4" s="52" t="e">
        <f t="shared" si="5"/>
        <v>#REF!</v>
      </c>
      <c r="BE4" s="50" t="e">
        <f t="shared" si="5"/>
        <v>#REF!</v>
      </c>
      <c r="BF4" s="52" t="e">
        <f t="shared" si="5"/>
        <v>#REF!</v>
      </c>
      <c r="BG4" s="50" t="e">
        <f t="shared" si="5"/>
        <v>#REF!</v>
      </c>
      <c r="BH4" s="53" t="e">
        <f t="shared" si="5"/>
        <v>#REF!</v>
      </c>
      <c r="BI4" s="50" t="e">
        <f t="shared" si="5"/>
        <v>#REF!</v>
      </c>
      <c r="BJ4" s="52" t="e">
        <f t="shared" si="5"/>
        <v>#REF!</v>
      </c>
      <c r="BK4" s="50" t="e">
        <f t="shared" si="5"/>
        <v>#REF!</v>
      </c>
      <c r="BL4" s="52" t="e">
        <f t="shared" si="5"/>
        <v>#REF!</v>
      </c>
      <c r="BM4" s="50"/>
      <c r="BN4" s="70" t="e">
        <f t="shared" si="4"/>
        <v>#REF!</v>
      </c>
      <c r="BO4" s="71" t="e">
        <f t="shared" si="4"/>
        <v>#REF!</v>
      </c>
      <c r="BP4" s="70" t="e">
        <f t="shared" si="4"/>
        <v>#REF!</v>
      </c>
      <c r="BQ4" s="71" t="e">
        <f t="shared" si="4"/>
        <v>#REF!</v>
      </c>
      <c r="BR4" s="50" t="e">
        <f t="shared" si="4"/>
        <v>#REF!</v>
      </c>
      <c r="BS4" s="51"/>
      <c r="BU4" s="50"/>
      <c r="BW4" s="50"/>
      <c r="BY4" s="50"/>
      <c r="CA4" s="50"/>
    </row>
    <row r="5" spans="1:79" s="56" customFormat="1" ht="39.950000000000003" customHeight="1" x14ac:dyDescent="0.3">
      <c r="A5" s="54" t="str">
        <f>Cards!E2</f>
        <v>Fickle Mercenaries</v>
      </c>
      <c r="B5" s="55" t="str">
        <f>Cards!E3</f>
        <v>Blatant Extortion</v>
      </c>
      <c r="C5" s="56" t="str">
        <f>Cards!E4</f>
        <v>Double Agents</v>
      </c>
      <c r="D5" s="54" t="str">
        <f>Cards!E5</f>
        <v>Questionable Reallocation</v>
      </c>
      <c r="E5" s="56" t="str">
        <f>Cards!E6</f>
        <v>Corporate Espionage</v>
      </c>
      <c r="F5" s="54" t="str">
        <f>Cards!E7</f>
        <v>Localized Famine</v>
      </c>
      <c r="G5" s="56" t="str">
        <f>Cards!E8</f>
        <v>Highway Robbery</v>
      </c>
      <c r="H5" s="54" t="str">
        <f>Cards!E9</f>
        <v>Camp Plague</v>
      </c>
      <c r="I5" s="56" t="str">
        <f>Cards!E10</f>
        <v>Weakening Grip</v>
      </c>
      <c r="J5" s="54" t="str">
        <f>Cards!E11</f>
        <v>Culture Shift</v>
      </c>
      <c r="K5" s="56" t="str">
        <f>Cards!E12</f>
        <v>Corporate Takeover</v>
      </c>
      <c r="L5" s="54" t="str">
        <f>Cards!E13</f>
        <v>Sabotage</v>
      </c>
      <c r="M5" s="56" t="str">
        <f>Cards!E14</f>
        <v>Dangerous Monopolies</v>
      </c>
      <c r="N5" s="54" t="str">
        <f>Cards!E15</f>
        <v>Betrayal</v>
      </c>
      <c r="O5" s="56" t="str">
        <f>Cards!E16</f>
        <v>Assassination Attempt</v>
      </c>
      <c r="P5" s="54" t="str">
        <f>Cards!E17</f>
        <v>Humiliation</v>
      </c>
      <c r="Q5" s="56" t="str">
        <f>Cards!E18</f>
        <v>Invalid Paperwork</v>
      </c>
      <c r="R5" s="54" t="str">
        <f>Cards!E19</f>
        <v>Rallied Opposition</v>
      </c>
      <c r="S5" s="56" t="str">
        <f>Cards!E20</f>
        <v>Waning Support</v>
      </c>
      <c r="T5" s="54" t="str">
        <f>Cards!E21</f>
        <v>Misaligned Strategy</v>
      </c>
      <c r="U5" s="54" t="str">
        <f>Cards!E22</f>
        <v>Blackmail</v>
      </c>
      <c r="V5" s="54" t="str">
        <f t="shared" ref="V5:AE6" si="6">A5</f>
        <v>Fickle Mercenaries</v>
      </c>
      <c r="W5" s="56" t="str">
        <f t="shared" si="6"/>
        <v>Blatant Extortion</v>
      </c>
      <c r="X5" s="54" t="str">
        <f t="shared" si="6"/>
        <v>Double Agents</v>
      </c>
      <c r="Y5" s="56" t="str">
        <f t="shared" si="6"/>
        <v>Questionable Reallocation</v>
      </c>
      <c r="Z5" s="54" t="str">
        <f t="shared" si="6"/>
        <v>Corporate Espionage</v>
      </c>
      <c r="AA5" s="56" t="str">
        <f t="shared" si="6"/>
        <v>Localized Famine</v>
      </c>
      <c r="AB5" s="54" t="str">
        <f t="shared" si="6"/>
        <v>Highway Robbery</v>
      </c>
      <c r="AC5" s="56" t="str">
        <f t="shared" si="6"/>
        <v>Camp Plague</v>
      </c>
      <c r="AD5" s="57" t="str">
        <f t="shared" si="6"/>
        <v>Weakening Grip</v>
      </c>
      <c r="AE5" s="54" t="str">
        <f t="shared" si="6"/>
        <v>Culture Shift</v>
      </c>
      <c r="AF5" s="54" t="str">
        <f t="shared" ref="AF5:AO6" si="7">K5</f>
        <v>Corporate Takeover</v>
      </c>
      <c r="AG5" s="56" t="str">
        <f t="shared" si="7"/>
        <v>Sabotage</v>
      </c>
      <c r="AH5" s="54" t="str">
        <f t="shared" si="7"/>
        <v>Dangerous Monopolies</v>
      </c>
      <c r="AI5" s="56" t="str">
        <f t="shared" si="7"/>
        <v>Betrayal</v>
      </c>
      <c r="AJ5" s="54" t="str">
        <f t="shared" si="7"/>
        <v>Assassination Attempt</v>
      </c>
      <c r="AK5" s="56" t="str">
        <f t="shared" si="7"/>
        <v>Humiliation</v>
      </c>
      <c r="AL5" s="54" t="str">
        <f t="shared" si="7"/>
        <v>Invalid Paperwork</v>
      </c>
      <c r="AM5" s="56" t="str">
        <f t="shared" si="7"/>
        <v>Rallied Opposition</v>
      </c>
      <c r="AN5" s="54" t="str">
        <f t="shared" si="7"/>
        <v>Waning Support</v>
      </c>
      <c r="AO5" s="56" t="str">
        <f t="shared" si="7"/>
        <v>Misaligned Strategy</v>
      </c>
      <c r="AP5" s="54" t="str">
        <f t="shared" ref="AP5:AP6" si="8">U5</f>
        <v>Blackmail</v>
      </c>
      <c r="AQ5" s="56" t="str">
        <f t="shared" ref="AQ5:AZ6" si="9">A5</f>
        <v>Fickle Mercenaries</v>
      </c>
      <c r="AR5" s="54" t="str">
        <f t="shared" si="9"/>
        <v>Blatant Extortion</v>
      </c>
      <c r="AS5" s="56" t="str">
        <f t="shared" si="9"/>
        <v>Double Agents</v>
      </c>
      <c r="AT5" s="54" t="str">
        <f t="shared" si="9"/>
        <v>Questionable Reallocation</v>
      </c>
      <c r="AU5" s="56" t="str">
        <f t="shared" si="9"/>
        <v>Corporate Espionage</v>
      </c>
      <c r="AV5" s="54" t="str">
        <f t="shared" si="9"/>
        <v>Localized Famine</v>
      </c>
      <c r="AW5" s="56" t="str">
        <f t="shared" si="9"/>
        <v>Highway Robbery</v>
      </c>
      <c r="AX5" s="57" t="str">
        <f t="shared" si="9"/>
        <v>Camp Plague</v>
      </c>
      <c r="AY5" s="54" t="str">
        <f t="shared" si="9"/>
        <v>Weakening Grip</v>
      </c>
      <c r="AZ5" s="56" t="str">
        <f t="shared" si="9"/>
        <v>Culture Shift</v>
      </c>
      <c r="BA5" s="54" t="str">
        <f t="shared" ref="BA5:BJ6" si="10">K5</f>
        <v>Corporate Takeover</v>
      </c>
      <c r="BB5" s="56" t="str">
        <f t="shared" si="10"/>
        <v>Sabotage</v>
      </c>
      <c r="BC5" s="54" t="str">
        <f t="shared" si="10"/>
        <v>Dangerous Monopolies</v>
      </c>
      <c r="BD5" s="56" t="str">
        <f t="shared" si="10"/>
        <v>Betrayal</v>
      </c>
      <c r="BE5" s="54" t="str">
        <f t="shared" si="10"/>
        <v>Assassination Attempt</v>
      </c>
      <c r="BF5" s="56" t="str">
        <f t="shared" si="10"/>
        <v>Humiliation</v>
      </c>
      <c r="BG5" s="54" t="str">
        <f t="shared" si="10"/>
        <v>Invalid Paperwork</v>
      </c>
      <c r="BH5" s="54" t="str">
        <f t="shared" si="10"/>
        <v>Rallied Opposition</v>
      </c>
      <c r="BI5" s="54" t="str">
        <f t="shared" si="10"/>
        <v>Waning Support</v>
      </c>
      <c r="BJ5" s="56" t="str">
        <f t="shared" si="10"/>
        <v>Misaligned Strategy</v>
      </c>
      <c r="BK5" s="54" t="str">
        <f t="shared" ref="BK5:BK6" si="11">U5</f>
        <v>Blackmail</v>
      </c>
      <c r="BM5" s="45" t="str">
        <f t="shared" ref="BM5:BQ6" si="12">AE1</f>
        <v>Codependent Relationship</v>
      </c>
      <c r="BN5" s="47" t="str">
        <f t="shared" si="12"/>
        <v>Dangerous Promises</v>
      </c>
      <c r="BO5" s="45" t="str">
        <f t="shared" si="12"/>
        <v>Large Middle Class</v>
      </c>
      <c r="BP5" s="47" t="str">
        <f t="shared" si="12"/>
        <v>Innovation Hub</v>
      </c>
      <c r="BQ5" s="45" t="str">
        <f t="shared" si="12"/>
        <v>Fire Temple</v>
      </c>
      <c r="BR5" s="54"/>
      <c r="BS5" s="55"/>
      <c r="BU5" s="54"/>
      <c r="BW5" s="54"/>
      <c r="BY5" s="54"/>
      <c r="CA5" s="54"/>
    </row>
    <row r="6" spans="1:79" s="52" customFormat="1" ht="15.75" thickBot="1" x14ac:dyDescent="0.25">
      <c r="A6" s="50" t="e">
        <f>Cards!#REF!</f>
        <v>#REF!</v>
      </c>
      <c r="B6" s="51" t="e">
        <f>Cards!#REF!</f>
        <v>#REF!</v>
      </c>
      <c r="C6" s="52" t="e">
        <f>Cards!#REF!</f>
        <v>#REF!</v>
      </c>
      <c r="D6" s="50" t="e">
        <f>Cards!#REF!</f>
        <v>#REF!</v>
      </c>
      <c r="E6" s="52" t="e">
        <f>Cards!#REF!</f>
        <v>#REF!</v>
      </c>
      <c r="F6" s="50" t="e">
        <f>Cards!#REF!</f>
        <v>#REF!</v>
      </c>
      <c r="G6" s="52" t="e">
        <f>Cards!#REF!</f>
        <v>#REF!</v>
      </c>
      <c r="H6" s="50" t="e">
        <f>Cards!#REF!</f>
        <v>#REF!</v>
      </c>
      <c r="I6" s="52" t="e">
        <f>Cards!#REF!</f>
        <v>#REF!</v>
      </c>
      <c r="J6" s="50" t="e">
        <f>Cards!#REF!</f>
        <v>#REF!</v>
      </c>
      <c r="K6" s="52" t="e">
        <f>Cards!#REF!</f>
        <v>#REF!</v>
      </c>
      <c r="L6" s="50" t="e">
        <f>Cards!#REF!</f>
        <v>#REF!</v>
      </c>
      <c r="M6" s="52" t="e">
        <f>Cards!#REF!</f>
        <v>#REF!</v>
      </c>
      <c r="N6" s="50" t="e">
        <f>Cards!#REF!</f>
        <v>#REF!</v>
      </c>
      <c r="O6" s="52" t="e">
        <f>Cards!#REF!</f>
        <v>#REF!</v>
      </c>
      <c r="P6" s="50" t="e">
        <f>Cards!#REF!</f>
        <v>#REF!</v>
      </c>
      <c r="Q6" s="52" t="e">
        <f>Cards!#REF!</f>
        <v>#REF!</v>
      </c>
      <c r="R6" s="50" t="e">
        <f>Cards!#REF!</f>
        <v>#REF!</v>
      </c>
      <c r="S6" s="52" t="e">
        <f>Cards!#REF!</f>
        <v>#REF!</v>
      </c>
      <c r="T6" s="50" t="e">
        <f>Cards!#REF!</f>
        <v>#REF!</v>
      </c>
      <c r="U6" s="50" t="e">
        <f>Cards!#REF!</f>
        <v>#REF!</v>
      </c>
      <c r="V6" s="50" t="e">
        <f t="shared" si="6"/>
        <v>#REF!</v>
      </c>
      <c r="W6" s="52" t="e">
        <f t="shared" si="6"/>
        <v>#REF!</v>
      </c>
      <c r="X6" s="50" t="e">
        <f t="shared" si="6"/>
        <v>#REF!</v>
      </c>
      <c r="Y6" s="52" t="e">
        <f t="shared" si="6"/>
        <v>#REF!</v>
      </c>
      <c r="Z6" s="50" t="e">
        <f t="shared" si="6"/>
        <v>#REF!</v>
      </c>
      <c r="AA6" s="52" t="e">
        <f t="shared" si="6"/>
        <v>#REF!</v>
      </c>
      <c r="AB6" s="50" t="e">
        <f t="shared" si="6"/>
        <v>#REF!</v>
      </c>
      <c r="AC6" s="52" t="e">
        <f t="shared" si="6"/>
        <v>#REF!</v>
      </c>
      <c r="AD6" s="53" t="e">
        <f t="shared" si="6"/>
        <v>#REF!</v>
      </c>
      <c r="AE6" s="50" t="e">
        <f t="shared" si="6"/>
        <v>#REF!</v>
      </c>
      <c r="AF6" s="50" t="e">
        <f t="shared" si="7"/>
        <v>#REF!</v>
      </c>
      <c r="AG6" s="52" t="e">
        <f t="shared" si="7"/>
        <v>#REF!</v>
      </c>
      <c r="AH6" s="50" t="e">
        <f t="shared" si="7"/>
        <v>#REF!</v>
      </c>
      <c r="AI6" s="52" t="e">
        <f t="shared" si="7"/>
        <v>#REF!</v>
      </c>
      <c r="AJ6" s="50" t="e">
        <f t="shared" si="7"/>
        <v>#REF!</v>
      </c>
      <c r="AK6" s="52" t="e">
        <f t="shared" si="7"/>
        <v>#REF!</v>
      </c>
      <c r="AL6" s="50" t="e">
        <f t="shared" si="7"/>
        <v>#REF!</v>
      </c>
      <c r="AM6" s="52" t="e">
        <f t="shared" si="7"/>
        <v>#REF!</v>
      </c>
      <c r="AN6" s="50" t="e">
        <f t="shared" si="7"/>
        <v>#REF!</v>
      </c>
      <c r="AO6" s="52" t="e">
        <f t="shared" si="7"/>
        <v>#REF!</v>
      </c>
      <c r="AP6" s="50" t="e">
        <f t="shared" si="8"/>
        <v>#REF!</v>
      </c>
      <c r="AQ6" s="52" t="e">
        <f t="shared" si="9"/>
        <v>#REF!</v>
      </c>
      <c r="AR6" s="50" t="e">
        <f t="shared" si="9"/>
        <v>#REF!</v>
      </c>
      <c r="AS6" s="52" t="e">
        <f t="shared" si="9"/>
        <v>#REF!</v>
      </c>
      <c r="AT6" s="50" t="e">
        <f t="shared" si="9"/>
        <v>#REF!</v>
      </c>
      <c r="AU6" s="52" t="e">
        <f t="shared" si="9"/>
        <v>#REF!</v>
      </c>
      <c r="AV6" s="50" t="e">
        <f t="shared" si="9"/>
        <v>#REF!</v>
      </c>
      <c r="AW6" s="52" t="e">
        <f t="shared" si="9"/>
        <v>#REF!</v>
      </c>
      <c r="AX6" s="53" t="e">
        <f t="shared" si="9"/>
        <v>#REF!</v>
      </c>
      <c r="AY6" s="50" t="e">
        <f t="shared" si="9"/>
        <v>#REF!</v>
      </c>
      <c r="AZ6" s="52" t="e">
        <f t="shared" si="9"/>
        <v>#REF!</v>
      </c>
      <c r="BA6" s="50" t="e">
        <f t="shared" si="10"/>
        <v>#REF!</v>
      </c>
      <c r="BB6" s="52" t="e">
        <f t="shared" si="10"/>
        <v>#REF!</v>
      </c>
      <c r="BC6" s="50" t="e">
        <f t="shared" si="10"/>
        <v>#REF!</v>
      </c>
      <c r="BD6" s="52" t="e">
        <f t="shared" si="10"/>
        <v>#REF!</v>
      </c>
      <c r="BE6" s="50" t="e">
        <f t="shared" si="10"/>
        <v>#REF!</v>
      </c>
      <c r="BF6" s="52" t="e">
        <f t="shared" si="10"/>
        <v>#REF!</v>
      </c>
      <c r="BG6" s="50" t="e">
        <f t="shared" si="10"/>
        <v>#REF!</v>
      </c>
      <c r="BH6" s="50" t="e">
        <f t="shared" si="10"/>
        <v>#REF!</v>
      </c>
      <c r="BI6" s="50" t="e">
        <f t="shared" si="10"/>
        <v>#REF!</v>
      </c>
      <c r="BJ6" s="52" t="e">
        <f t="shared" si="10"/>
        <v>#REF!</v>
      </c>
      <c r="BK6" s="50" t="e">
        <f t="shared" si="11"/>
        <v>#REF!</v>
      </c>
      <c r="BM6" s="50" t="e">
        <f t="shared" si="12"/>
        <v>#REF!</v>
      </c>
      <c r="BN6" s="52" t="e">
        <f t="shared" si="12"/>
        <v>#REF!</v>
      </c>
      <c r="BO6" s="50" t="e">
        <f t="shared" si="12"/>
        <v>#REF!</v>
      </c>
      <c r="BP6" s="52" t="e">
        <f t="shared" si="12"/>
        <v>#REF!</v>
      </c>
      <c r="BQ6" s="50" t="e">
        <f t="shared" si="12"/>
        <v>#REF!</v>
      </c>
      <c r="BR6" s="50"/>
      <c r="BS6" s="51"/>
      <c r="BU6" s="50"/>
      <c r="BW6" s="50"/>
      <c r="BY6" s="50"/>
      <c r="CA6" s="50"/>
    </row>
  </sheetData>
  <pageMargins left="0.25" right="0.25"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DA35E-BFC3-134A-A064-89D65A8B31CF}">
  <dimension ref="A1:F21"/>
  <sheetViews>
    <sheetView zoomScaleNormal="60" zoomScaleSheetLayoutView="100" workbookViewId="0">
      <selection activeCell="E14" sqref="E14"/>
    </sheetView>
  </sheetViews>
  <sheetFormatPr defaultRowHeight="15" x14ac:dyDescent="0.2"/>
  <cols>
    <col min="1" max="1" width="19.50390625" bestFit="1" customWidth="1"/>
    <col min="3" max="3" width="12.10546875" bestFit="1" customWidth="1"/>
    <col min="4" max="4" width="8.875" bestFit="1" customWidth="1"/>
    <col min="5" max="5" width="13.85546875" bestFit="1" customWidth="1"/>
    <col min="6" max="6" width="10.22265625" bestFit="1" customWidth="1"/>
  </cols>
  <sheetData>
    <row r="1" spans="1:6" x14ac:dyDescent="0.2">
      <c r="B1" t="s">
        <v>178</v>
      </c>
      <c r="C1" t="s">
        <v>179</v>
      </c>
      <c r="D1" t="s">
        <v>180</v>
      </c>
      <c r="E1" t="s">
        <v>181</v>
      </c>
      <c r="F1" t="s">
        <v>182</v>
      </c>
    </row>
    <row r="2" spans="1:6" x14ac:dyDescent="0.2">
      <c r="A2" t="s">
        <v>159</v>
      </c>
      <c r="B2">
        <f>30*2</f>
        <v>60</v>
      </c>
      <c r="C2" t="s">
        <v>183</v>
      </c>
      <c r="D2">
        <v>27.7</v>
      </c>
    </row>
    <row r="3" spans="1:6" x14ac:dyDescent="0.2">
      <c r="A3" t="s">
        <v>160</v>
      </c>
      <c r="B3">
        <f>34*2</f>
        <v>68</v>
      </c>
      <c r="C3" t="s">
        <v>183</v>
      </c>
      <c r="D3">
        <v>27.7</v>
      </c>
    </row>
    <row r="4" spans="1:6" x14ac:dyDescent="0.2">
      <c r="A4" t="s">
        <v>161</v>
      </c>
      <c r="B4">
        <f>18*3</f>
        <v>54</v>
      </c>
      <c r="C4" t="s">
        <v>183</v>
      </c>
      <c r="D4">
        <v>30.75</v>
      </c>
    </row>
    <row r="5" spans="1:6" x14ac:dyDescent="0.2">
      <c r="A5" t="s">
        <v>162</v>
      </c>
      <c r="B5">
        <f>2*6+6*6</f>
        <v>48</v>
      </c>
      <c r="C5" t="s">
        <v>334</v>
      </c>
    </row>
    <row r="6" spans="1:6" x14ac:dyDescent="0.2">
      <c r="A6" t="s">
        <v>174</v>
      </c>
      <c r="B6">
        <f>1*6+10*6</f>
        <v>66</v>
      </c>
      <c r="C6" t="s">
        <v>187</v>
      </c>
      <c r="E6" t="s">
        <v>184</v>
      </c>
    </row>
    <row r="7" spans="1:6" x14ac:dyDescent="0.2">
      <c r="A7" t="s">
        <v>163</v>
      </c>
      <c r="B7">
        <f>10*6+10</f>
        <v>70</v>
      </c>
      <c r="C7" t="s">
        <v>187</v>
      </c>
      <c r="E7" t="s">
        <v>335</v>
      </c>
    </row>
    <row r="8" spans="1:6" x14ac:dyDescent="0.2">
      <c r="A8" t="s">
        <v>164</v>
      </c>
      <c r="B8">
        <f>2*8*6</f>
        <v>96</v>
      </c>
      <c r="C8" t="s">
        <v>187</v>
      </c>
      <c r="E8" t="s">
        <v>335</v>
      </c>
    </row>
    <row r="9" spans="1:6" x14ac:dyDescent="0.2">
      <c r="A9" t="s">
        <v>165</v>
      </c>
      <c r="B9">
        <f>5*6</f>
        <v>30</v>
      </c>
      <c r="C9" t="s">
        <v>187</v>
      </c>
      <c r="E9" t="s">
        <v>335</v>
      </c>
    </row>
    <row r="10" spans="1:6" x14ac:dyDescent="0.2">
      <c r="A10" t="s">
        <v>166</v>
      </c>
      <c r="B10">
        <f>5*6</f>
        <v>30</v>
      </c>
      <c r="C10" t="s">
        <v>187</v>
      </c>
      <c r="E10" t="s">
        <v>184</v>
      </c>
    </row>
    <row r="11" spans="1:6" x14ac:dyDescent="0.2">
      <c r="A11" t="s">
        <v>167</v>
      </c>
      <c r="B11">
        <f>(30*6-B10)/5</f>
        <v>30</v>
      </c>
      <c r="C11" t="s">
        <v>187</v>
      </c>
      <c r="E11" t="s">
        <v>184</v>
      </c>
    </row>
    <row r="12" spans="1:6" x14ac:dyDescent="0.2">
      <c r="A12" t="s">
        <v>168</v>
      </c>
      <c r="B12">
        <f>5*6</f>
        <v>30</v>
      </c>
      <c r="C12" t="s">
        <v>187</v>
      </c>
      <c r="E12" t="s">
        <v>185</v>
      </c>
    </row>
    <row r="13" spans="1:6" x14ac:dyDescent="0.2">
      <c r="A13" t="s">
        <v>169</v>
      </c>
      <c r="B13">
        <f>(15*6-B12)/5</f>
        <v>12</v>
      </c>
      <c r="C13" t="s">
        <v>187</v>
      </c>
      <c r="E13" t="s">
        <v>185</v>
      </c>
    </row>
    <row r="14" spans="1:6" x14ac:dyDescent="0.2">
      <c r="A14" t="s">
        <v>170</v>
      </c>
      <c r="B14">
        <v>1</v>
      </c>
      <c r="C14" t="s">
        <v>186</v>
      </c>
    </row>
    <row r="15" spans="1:6" x14ac:dyDescent="0.2">
      <c r="A15" t="s">
        <v>171</v>
      </c>
      <c r="B15">
        <v>1</v>
      </c>
      <c r="C15" t="s">
        <v>186</v>
      </c>
    </row>
    <row r="16" spans="1:6" x14ac:dyDescent="0.2">
      <c r="A16" t="s">
        <v>172</v>
      </c>
      <c r="B16">
        <v>1</v>
      </c>
      <c r="C16" t="s">
        <v>186</v>
      </c>
    </row>
    <row r="17" spans="1:3" x14ac:dyDescent="0.2">
      <c r="A17" t="s">
        <v>173</v>
      </c>
      <c r="B17">
        <v>6</v>
      </c>
      <c r="C17" t="s">
        <v>183</v>
      </c>
    </row>
    <row r="18" spans="1:3" x14ac:dyDescent="0.2">
      <c r="A18" t="s">
        <v>177</v>
      </c>
      <c r="B18">
        <f>10*6</f>
        <v>60</v>
      </c>
      <c r="C18" t="s">
        <v>187</v>
      </c>
    </row>
    <row r="19" spans="1:3" x14ac:dyDescent="0.2">
      <c r="A19" t="s">
        <v>176</v>
      </c>
      <c r="B19">
        <f>5*7</f>
        <v>35</v>
      </c>
      <c r="C19" t="s">
        <v>187</v>
      </c>
    </row>
    <row r="20" spans="1:3" x14ac:dyDescent="0.2">
      <c r="A20" t="s">
        <v>175</v>
      </c>
      <c r="B20">
        <f>5*7</f>
        <v>35</v>
      </c>
      <c r="C20" t="s">
        <v>187</v>
      </c>
    </row>
    <row r="21" spans="1:3" x14ac:dyDescent="0.2">
      <c r="A21" t="s">
        <v>188</v>
      </c>
      <c r="B21">
        <v>6</v>
      </c>
      <c r="C21" t="s">
        <v>189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83F89-2724-CA43-A519-59213A612B31}">
  <dimension ref="A1:U55"/>
  <sheetViews>
    <sheetView tabSelected="1" topLeftCell="D1" zoomScaleNormal="60" zoomScaleSheetLayoutView="100" workbookViewId="0">
      <pane ySplit="1" topLeftCell="D2" activePane="bottomLeft" state="frozen"/>
      <selection activeCell="B1" sqref="B1"/>
      <selection pane="bottomLeft" activeCell="G15" sqref="G15"/>
    </sheetView>
  </sheetViews>
  <sheetFormatPr defaultRowHeight="15" x14ac:dyDescent="0.2"/>
  <cols>
    <col min="1" max="1" width="25.9609375" style="73" bestFit="1" customWidth="1"/>
    <col min="2" max="2" width="7.3984375" bestFit="1" customWidth="1"/>
    <col min="3" max="3" width="6.72265625" customWidth="1"/>
    <col min="4" max="4" width="8.33984375" bestFit="1" customWidth="1"/>
    <col min="5" max="5" width="16.27734375" bestFit="1" customWidth="1"/>
    <col min="6" max="6" width="12.5078125" bestFit="1" customWidth="1"/>
    <col min="7" max="7" width="11.97265625" bestFit="1" customWidth="1"/>
    <col min="8" max="9" width="11.43359375" style="75" bestFit="1" customWidth="1"/>
    <col min="10" max="10" width="10.22265625" style="75" bestFit="1" customWidth="1"/>
    <col min="11" max="11" width="11.43359375" style="75" bestFit="1" customWidth="1"/>
    <col min="12" max="19" width="11.8359375" style="75" bestFit="1" customWidth="1"/>
    <col min="20" max="20" width="12.9140625" style="75" bestFit="1" customWidth="1"/>
    <col min="21" max="21" width="12.5078125" bestFit="1" customWidth="1"/>
  </cols>
  <sheetData>
    <row r="1" spans="1:21" x14ac:dyDescent="0.2">
      <c r="A1" t="s">
        <v>237</v>
      </c>
      <c r="B1" t="s">
        <v>238</v>
      </c>
      <c r="C1" t="s">
        <v>239</v>
      </c>
      <c r="D1" t="s">
        <v>240</v>
      </c>
      <c r="E1" t="s">
        <v>241</v>
      </c>
      <c r="F1" t="s">
        <v>263</v>
      </c>
      <c r="G1" t="s">
        <v>262</v>
      </c>
      <c r="H1" t="s">
        <v>242</v>
      </c>
      <c r="I1" t="s">
        <v>243</v>
      </c>
      <c r="J1" s="75" t="s">
        <v>260</v>
      </c>
      <c r="K1" t="s">
        <v>244</v>
      </c>
      <c r="L1" t="s">
        <v>245</v>
      </c>
      <c r="M1" t="s">
        <v>246</v>
      </c>
      <c r="N1" t="s">
        <v>247</v>
      </c>
      <c r="O1" t="s">
        <v>248</v>
      </c>
      <c r="P1" t="s">
        <v>249</v>
      </c>
      <c r="Q1" t="s">
        <v>250</v>
      </c>
      <c r="R1" t="s">
        <v>251</v>
      </c>
      <c r="S1" t="s">
        <v>252</v>
      </c>
      <c r="T1" t="s">
        <v>253</v>
      </c>
      <c r="U1" t="s">
        <v>261</v>
      </c>
    </row>
    <row r="2" spans="1:21" x14ac:dyDescent="0.2">
      <c r="A2" s="73">
        <v>46075</v>
      </c>
      <c r="B2">
        <v>6</v>
      </c>
      <c r="C2" s="74" t="b">
        <v>0</v>
      </c>
      <c r="D2" s="74" t="b">
        <v>0</v>
      </c>
      <c r="E2">
        <v>12</v>
      </c>
      <c r="F2">
        <v>17</v>
      </c>
      <c r="H2" s="75">
        <v>0.79166666666666663</v>
      </c>
      <c r="I2" s="75">
        <v>0.93055555555555558</v>
      </c>
      <c r="K2" s="75">
        <v>0.81458333333333333</v>
      </c>
      <c r="L2" s="75">
        <v>0.83125000000000004</v>
      </c>
      <c r="M2" s="75">
        <v>0.85486111111111107</v>
      </c>
      <c r="N2" s="75">
        <v>0.87777777777777777</v>
      </c>
      <c r="O2" s="75">
        <v>0.90069444444444446</v>
      </c>
      <c r="P2" s="75">
        <v>0.92638888888888893</v>
      </c>
    </row>
    <row r="3" spans="1:21" x14ac:dyDescent="0.2">
      <c r="A3" s="73">
        <v>46089</v>
      </c>
      <c r="B3">
        <v>6</v>
      </c>
      <c r="C3" s="74" t="b">
        <v>0</v>
      </c>
      <c r="D3" s="74" t="b">
        <v>0</v>
      </c>
      <c r="E3">
        <v>12</v>
      </c>
      <c r="F3">
        <v>18</v>
      </c>
      <c r="G3">
        <v>1</v>
      </c>
      <c r="H3" s="75">
        <v>0.68541666666666667</v>
      </c>
      <c r="I3" s="75">
        <v>0.86527777777777781</v>
      </c>
      <c r="J3" s="75">
        <v>0.6958333333333333</v>
      </c>
      <c r="K3" s="75">
        <v>0.70763888888888893</v>
      </c>
      <c r="L3" s="75">
        <v>0.7270833333333333</v>
      </c>
      <c r="M3" s="75">
        <v>0.75069444444444444</v>
      </c>
      <c r="N3" s="75">
        <v>0.77500000000000002</v>
      </c>
      <c r="O3" s="75">
        <v>0.80347222222222225</v>
      </c>
      <c r="P3" s="75">
        <v>0.82986111111111116</v>
      </c>
      <c r="Q3" s="75">
        <v>0.86041666666666672</v>
      </c>
      <c r="U3" s="75">
        <v>0.86527777777777781</v>
      </c>
    </row>
    <row r="4" spans="1:21" x14ac:dyDescent="0.2">
      <c r="A4" s="73">
        <v>46105</v>
      </c>
      <c r="B4">
        <v>6</v>
      </c>
      <c r="C4" s="74" t="b">
        <v>0</v>
      </c>
      <c r="D4" s="74" t="b">
        <v>0</v>
      </c>
      <c r="E4">
        <v>12</v>
      </c>
      <c r="F4">
        <v>17</v>
      </c>
      <c r="G4">
        <v>10</v>
      </c>
      <c r="H4" s="75">
        <v>0.77500000000000002</v>
      </c>
      <c r="I4" s="75">
        <v>0.92777777777777781</v>
      </c>
      <c r="J4" s="75">
        <v>0.78472222222222221</v>
      </c>
      <c r="K4" s="75">
        <v>0.79236111111111107</v>
      </c>
      <c r="L4" s="75">
        <v>0.81111111111111112</v>
      </c>
      <c r="M4" s="75">
        <v>0.83194444444444449</v>
      </c>
      <c r="N4" s="75">
        <v>0.85277777777777775</v>
      </c>
      <c r="O4" s="75">
        <v>0.88263888888888886</v>
      </c>
      <c r="P4" s="75">
        <v>0.92083333333333328</v>
      </c>
      <c r="U4" s="75">
        <v>0.92777777777777781</v>
      </c>
    </row>
    <row r="5" spans="1:21" x14ac:dyDescent="0.2">
      <c r="A5" s="73">
        <v>46118</v>
      </c>
      <c r="B5">
        <v>6</v>
      </c>
      <c r="C5" s="74" t="b">
        <v>0</v>
      </c>
      <c r="D5" s="74" t="b">
        <v>0</v>
      </c>
      <c r="E5">
        <v>12</v>
      </c>
      <c r="F5">
        <v>20</v>
      </c>
      <c r="G5">
        <v>11</v>
      </c>
      <c r="H5" s="75">
        <v>0.78333333333333333</v>
      </c>
      <c r="I5" s="75">
        <v>0.9194444444444444</v>
      </c>
      <c r="J5" s="75">
        <v>0.7944444444444444</v>
      </c>
      <c r="K5" s="75">
        <v>0.8041666666666667</v>
      </c>
      <c r="L5" s="75">
        <v>0.82291666666666663</v>
      </c>
      <c r="M5" s="75">
        <v>0.84166666666666667</v>
      </c>
      <c r="N5" s="75">
        <v>0.8666666666666667</v>
      </c>
      <c r="O5" s="75">
        <v>0.88958333333333328</v>
      </c>
      <c r="P5" s="75">
        <v>0.91388888888888886</v>
      </c>
      <c r="U5" s="75">
        <v>0.9194444444444444</v>
      </c>
    </row>
    <row r="6" spans="1:21" x14ac:dyDescent="0.2">
      <c r="A6" s="73">
        <v>46124</v>
      </c>
      <c r="B6">
        <v>6</v>
      </c>
      <c r="C6" s="74" t="b">
        <v>0</v>
      </c>
      <c r="D6" s="74" t="b">
        <v>1</v>
      </c>
      <c r="E6">
        <v>5</v>
      </c>
      <c r="F6">
        <v>9</v>
      </c>
      <c r="G6">
        <v>5</v>
      </c>
      <c r="H6" s="75">
        <v>0.64097222222222228</v>
      </c>
      <c r="I6" s="75">
        <v>0.74583333333333335</v>
      </c>
      <c r="J6" s="75">
        <v>0.65833333333333333</v>
      </c>
      <c r="K6" s="75">
        <v>0.68611111111111112</v>
      </c>
      <c r="L6" s="75">
        <v>0.71250000000000002</v>
      </c>
      <c r="M6" s="75">
        <v>0.74027777777777781</v>
      </c>
      <c r="U6" s="75">
        <v>0.74583333333333335</v>
      </c>
    </row>
    <row r="7" spans="1:21" x14ac:dyDescent="0.2">
      <c r="A7" s="73">
        <v>46131</v>
      </c>
      <c r="B7">
        <v>6</v>
      </c>
      <c r="C7" s="74" t="b">
        <v>0</v>
      </c>
      <c r="D7" s="74" t="b">
        <v>0</v>
      </c>
      <c r="E7">
        <v>12</v>
      </c>
      <c r="F7">
        <v>22</v>
      </c>
      <c r="G7">
        <v>6</v>
      </c>
      <c r="H7" s="75">
        <v>0.54652777777777772</v>
      </c>
      <c r="I7" s="75">
        <v>0.70277777777777772</v>
      </c>
      <c r="J7" s="75">
        <v>0.55694444444444446</v>
      </c>
      <c r="K7" s="75">
        <v>0.57222222222222219</v>
      </c>
      <c r="L7" s="75">
        <v>0.59652777777777777</v>
      </c>
      <c r="M7" s="75">
        <v>0.61805555555555558</v>
      </c>
      <c r="N7" s="75">
        <v>0.64583333333333337</v>
      </c>
      <c r="O7" s="75">
        <v>0.67500000000000004</v>
      </c>
      <c r="P7" s="75">
        <v>0.69930555555555551</v>
      </c>
      <c r="U7" s="75">
        <v>0.70277777777777772</v>
      </c>
    </row>
    <row r="8" spans="1:21" x14ac:dyDescent="0.2">
      <c r="A8" s="73">
        <v>46138</v>
      </c>
      <c r="B8">
        <v>6</v>
      </c>
      <c r="C8" s="74" t="b">
        <v>0</v>
      </c>
      <c r="D8" s="74" t="b">
        <v>0</v>
      </c>
      <c r="E8">
        <v>8</v>
      </c>
      <c r="F8">
        <v>8</v>
      </c>
      <c r="G8">
        <v>3</v>
      </c>
      <c r="H8" s="75">
        <v>0.63888888888888884</v>
      </c>
      <c r="I8" s="75">
        <v>0.69513888888888886</v>
      </c>
      <c r="J8" s="75">
        <v>0.64444444444444449</v>
      </c>
      <c r="K8" s="75">
        <v>0.65416666666666667</v>
      </c>
      <c r="L8" s="75">
        <v>0.67013888888888884</v>
      </c>
      <c r="M8" s="75">
        <v>0.69166666666666665</v>
      </c>
      <c r="U8" s="75">
        <v>0.69513888888888886</v>
      </c>
    </row>
    <row r="9" spans="1:21" x14ac:dyDescent="0.2">
      <c r="A9" s="73">
        <v>46145</v>
      </c>
      <c r="B9">
        <v>6</v>
      </c>
      <c r="C9" s="74" t="b">
        <v>0</v>
      </c>
      <c r="D9" s="74" t="b">
        <v>0</v>
      </c>
      <c r="E9">
        <v>12</v>
      </c>
      <c r="F9">
        <v>30</v>
      </c>
      <c r="G9">
        <v>18</v>
      </c>
      <c r="H9" s="75">
        <v>0.60624999999999996</v>
      </c>
      <c r="I9" s="75">
        <v>0.71666666666666667</v>
      </c>
      <c r="J9" s="75">
        <v>0.61250000000000004</v>
      </c>
      <c r="K9" s="75">
        <v>0.62222222222222223</v>
      </c>
      <c r="L9" s="75">
        <v>0.64027777777777772</v>
      </c>
      <c r="M9" s="75">
        <v>0.65833333333333333</v>
      </c>
      <c r="N9" s="75">
        <v>0.6791666666666667</v>
      </c>
      <c r="O9" s="75">
        <v>0.69722222222222219</v>
      </c>
      <c r="P9" s="75">
        <v>0.71250000000000002</v>
      </c>
      <c r="U9" s="75">
        <v>0.71666666666666667</v>
      </c>
    </row>
    <row r="10" spans="1:21" x14ac:dyDescent="0.2">
      <c r="A10" s="73">
        <v>46152</v>
      </c>
      <c r="B10">
        <v>4</v>
      </c>
      <c r="C10" s="74" t="b">
        <v>0</v>
      </c>
      <c r="D10" s="74" t="b">
        <v>0</v>
      </c>
      <c r="E10">
        <v>12</v>
      </c>
      <c r="F10">
        <v>21</v>
      </c>
      <c r="G10">
        <v>0</v>
      </c>
      <c r="H10" s="75">
        <v>0.54791666666666672</v>
      </c>
      <c r="I10" s="75">
        <v>0.625</v>
      </c>
      <c r="J10" s="75">
        <v>0.55347222222222225</v>
      </c>
      <c r="K10" s="75">
        <v>0.56180555555555556</v>
      </c>
      <c r="L10" s="75">
        <v>0.57361111111111107</v>
      </c>
      <c r="M10" s="75">
        <v>0.58611111111111114</v>
      </c>
      <c r="N10" s="75">
        <v>0.60486111111111107</v>
      </c>
      <c r="O10" s="75">
        <v>0.61875000000000002</v>
      </c>
      <c r="U10" s="75">
        <v>0.625</v>
      </c>
    </row>
    <row r="11" spans="1:21" x14ac:dyDescent="0.2">
      <c r="A11" s="73">
        <v>46158</v>
      </c>
      <c r="B11">
        <v>5</v>
      </c>
      <c r="C11" s="74" t="b">
        <v>0</v>
      </c>
      <c r="D11" s="74" t="b">
        <v>0</v>
      </c>
      <c r="E11">
        <v>12</v>
      </c>
      <c r="F11">
        <v>24</v>
      </c>
      <c r="G11">
        <v>12</v>
      </c>
      <c r="H11" s="75">
        <v>0.84236111111111112</v>
      </c>
      <c r="I11" s="75">
        <v>0.99236111111111114</v>
      </c>
      <c r="J11" s="75">
        <v>0.85902777777777772</v>
      </c>
      <c r="K11" s="75">
        <v>0.87222222222222223</v>
      </c>
      <c r="L11" s="75">
        <v>0.88958333333333328</v>
      </c>
      <c r="M11" s="75">
        <v>0.90625</v>
      </c>
      <c r="N11" s="75">
        <v>0.92708333333333337</v>
      </c>
      <c r="O11" s="75">
        <v>0.95833333333333337</v>
      </c>
      <c r="P11" s="75">
        <v>0.98888888888888893</v>
      </c>
      <c r="U11" s="75">
        <v>0.99236111111111114</v>
      </c>
    </row>
    <row r="12" spans="1:21" x14ac:dyDescent="0.2">
      <c r="A12" s="73">
        <v>46215</v>
      </c>
      <c r="B12">
        <v>4</v>
      </c>
      <c r="C12" s="74" t="b">
        <v>0</v>
      </c>
      <c r="D12" s="74" t="b">
        <v>0</v>
      </c>
      <c r="E12">
        <v>16</v>
      </c>
      <c r="F12">
        <v>22</v>
      </c>
      <c r="G12">
        <v>16</v>
      </c>
      <c r="H12" s="75">
        <v>0.56944444444444442</v>
      </c>
      <c r="I12" s="75">
        <v>0.73888888888888893</v>
      </c>
      <c r="J12" s="75">
        <v>0.57638888888888884</v>
      </c>
      <c r="K12" s="75">
        <v>0.58333333333333337</v>
      </c>
      <c r="L12" s="75">
        <v>0.59583333333333333</v>
      </c>
      <c r="M12" s="75">
        <v>0.625</v>
      </c>
      <c r="N12" s="75">
        <v>0.6381944444444444</v>
      </c>
      <c r="O12" s="75">
        <v>0.66041666666666665</v>
      </c>
      <c r="P12" s="75">
        <v>0.68402777777777779</v>
      </c>
      <c r="Q12" s="75">
        <v>0.70694444444444449</v>
      </c>
      <c r="R12" s="75">
        <v>0.73402777777777772</v>
      </c>
      <c r="U12" s="75">
        <v>0.73888888888888893</v>
      </c>
    </row>
    <row r="13" spans="1:21" x14ac:dyDescent="0.2">
      <c r="A13" s="73">
        <v>46247</v>
      </c>
      <c r="B13">
        <v>6</v>
      </c>
      <c r="C13" s="74" t="b">
        <v>0</v>
      </c>
      <c r="D13" s="74" t="b">
        <v>0</v>
      </c>
      <c r="E13">
        <v>12</v>
      </c>
      <c r="F13">
        <v>21</v>
      </c>
      <c r="G13">
        <v>7</v>
      </c>
      <c r="H13" s="75">
        <v>0.79097222222222219</v>
      </c>
      <c r="I13" s="75">
        <v>0.9458333333333333</v>
      </c>
      <c r="J13" s="75">
        <v>0.8</v>
      </c>
      <c r="K13" s="75">
        <v>0.81041666666666667</v>
      </c>
      <c r="L13" s="75">
        <v>0.82777777777777772</v>
      </c>
      <c r="M13" s="75">
        <v>0.84722222222222221</v>
      </c>
      <c r="N13" s="75">
        <v>0.87569444444444444</v>
      </c>
      <c r="O13" s="75">
        <v>0.90277777777777779</v>
      </c>
      <c r="P13" s="75">
        <v>0.93541666666666667</v>
      </c>
      <c r="U13" s="75">
        <v>0.9458333333333333</v>
      </c>
    </row>
    <row r="14" spans="1:21" x14ac:dyDescent="0.2">
      <c r="A14" s="73">
        <v>46277</v>
      </c>
      <c r="B14">
        <v>4</v>
      </c>
      <c r="C14" s="74" t="b">
        <v>0</v>
      </c>
      <c r="D14" s="74" t="b">
        <v>0</v>
      </c>
      <c r="E14">
        <v>16</v>
      </c>
      <c r="F14">
        <v>21</v>
      </c>
      <c r="G14">
        <v>13</v>
      </c>
      <c r="H14" s="75">
        <v>0.79166666666666663</v>
      </c>
      <c r="I14" s="75">
        <v>0.92500000000000004</v>
      </c>
      <c r="J14" s="75">
        <v>0.80902777777777779</v>
      </c>
      <c r="K14" s="75">
        <v>0.81736111111111109</v>
      </c>
      <c r="L14" s="75">
        <v>0.8354166666666667</v>
      </c>
      <c r="M14" s="75">
        <v>0.85416666666666663</v>
      </c>
      <c r="N14" s="75">
        <v>0.86736111111111114</v>
      </c>
      <c r="O14" s="75">
        <v>0.88749999999999996</v>
      </c>
      <c r="P14" s="75">
        <v>0.90138888888888891</v>
      </c>
      <c r="Q14" s="75">
        <v>0.92013888888888884</v>
      </c>
      <c r="U14" s="75">
        <v>0.92500000000000004</v>
      </c>
    </row>
    <row r="15" spans="1:21" x14ac:dyDescent="0.2">
      <c r="C15" s="74" t="b">
        <v>0</v>
      </c>
      <c r="D15" s="74" t="b">
        <v>0</v>
      </c>
    </row>
    <row r="16" spans="1:21" x14ac:dyDescent="0.2">
      <c r="C16" s="74" t="b">
        <v>0</v>
      </c>
      <c r="D16" s="74" t="b">
        <v>0</v>
      </c>
    </row>
    <row r="17" spans="3:4" x14ac:dyDescent="0.2">
      <c r="C17" s="74" t="b">
        <v>0</v>
      </c>
      <c r="D17" s="74" t="b">
        <v>0</v>
      </c>
    </row>
    <row r="18" spans="3:4" x14ac:dyDescent="0.2">
      <c r="C18" s="74" t="b">
        <v>0</v>
      </c>
      <c r="D18" s="74" t="b">
        <v>0</v>
      </c>
    </row>
    <row r="19" spans="3:4" x14ac:dyDescent="0.2">
      <c r="C19" s="74" t="b">
        <v>0</v>
      </c>
      <c r="D19" s="74" t="b">
        <v>0</v>
      </c>
    </row>
    <row r="20" spans="3:4" x14ac:dyDescent="0.2">
      <c r="C20" s="74" t="b">
        <v>0</v>
      </c>
      <c r="D20" s="74" t="b">
        <v>0</v>
      </c>
    </row>
    <row r="21" spans="3:4" x14ac:dyDescent="0.2">
      <c r="C21" s="74" t="b">
        <v>0</v>
      </c>
      <c r="D21" s="74" t="b">
        <v>0</v>
      </c>
    </row>
    <row r="22" spans="3:4" x14ac:dyDescent="0.2">
      <c r="C22" s="74" t="b">
        <v>0</v>
      </c>
      <c r="D22" s="74" t="b">
        <v>0</v>
      </c>
    </row>
    <row r="23" spans="3:4" x14ac:dyDescent="0.2">
      <c r="C23" s="74" t="b">
        <v>0</v>
      </c>
      <c r="D23" s="74" t="b">
        <v>0</v>
      </c>
    </row>
    <row r="24" spans="3:4" x14ac:dyDescent="0.2">
      <c r="C24" s="74" t="b">
        <v>0</v>
      </c>
      <c r="D24" s="74" t="b">
        <v>0</v>
      </c>
    </row>
    <row r="25" spans="3:4" x14ac:dyDescent="0.2">
      <c r="C25" s="74" t="b">
        <v>0</v>
      </c>
      <c r="D25" s="74" t="b">
        <v>0</v>
      </c>
    </row>
    <row r="26" spans="3:4" x14ac:dyDescent="0.2">
      <c r="C26" s="74" t="b">
        <v>0</v>
      </c>
      <c r="D26" s="74" t="b">
        <v>0</v>
      </c>
    </row>
    <row r="27" spans="3:4" x14ac:dyDescent="0.2">
      <c r="C27" s="74" t="b">
        <v>0</v>
      </c>
      <c r="D27" s="74" t="b">
        <v>0</v>
      </c>
    </row>
    <row r="28" spans="3:4" x14ac:dyDescent="0.2">
      <c r="C28" s="74" t="b">
        <v>0</v>
      </c>
      <c r="D28" s="74" t="b">
        <v>0</v>
      </c>
    </row>
    <row r="29" spans="3:4" x14ac:dyDescent="0.2">
      <c r="C29" s="74" t="b">
        <v>0</v>
      </c>
      <c r="D29" s="74" t="b">
        <v>0</v>
      </c>
    </row>
    <row r="30" spans="3:4" x14ac:dyDescent="0.2">
      <c r="C30" s="74" t="b">
        <v>0</v>
      </c>
      <c r="D30" s="74" t="b">
        <v>0</v>
      </c>
    </row>
    <row r="31" spans="3:4" x14ac:dyDescent="0.2">
      <c r="C31" s="74" t="b">
        <v>0</v>
      </c>
      <c r="D31" s="74" t="b">
        <v>0</v>
      </c>
    </row>
    <row r="32" spans="3:4" x14ac:dyDescent="0.2">
      <c r="C32" s="74" t="b">
        <v>0</v>
      </c>
      <c r="D32" s="74" t="b">
        <v>0</v>
      </c>
    </row>
    <row r="33" spans="3:4" x14ac:dyDescent="0.2">
      <c r="C33" s="74" t="b">
        <v>0</v>
      </c>
      <c r="D33" s="74" t="b">
        <v>0</v>
      </c>
    </row>
    <row r="34" spans="3:4" x14ac:dyDescent="0.2">
      <c r="C34" s="74" t="b">
        <v>0</v>
      </c>
      <c r="D34" s="74" t="b">
        <v>0</v>
      </c>
    </row>
    <row r="35" spans="3:4" x14ac:dyDescent="0.2">
      <c r="C35" s="74" t="b">
        <v>0</v>
      </c>
      <c r="D35" s="74" t="b">
        <v>0</v>
      </c>
    </row>
    <row r="36" spans="3:4" x14ac:dyDescent="0.2">
      <c r="C36" s="74" t="b">
        <v>0</v>
      </c>
      <c r="D36" s="74" t="b">
        <v>0</v>
      </c>
    </row>
    <row r="37" spans="3:4" x14ac:dyDescent="0.2">
      <c r="C37" s="74" t="b">
        <v>0</v>
      </c>
      <c r="D37" s="74" t="b">
        <v>0</v>
      </c>
    </row>
    <row r="38" spans="3:4" x14ac:dyDescent="0.2">
      <c r="C38" s="74" t="b">
        <v>0</v>
      </c>
      <c r="D38" s="74" t="b">
        <v>0</v>
      </c>
    </row>
    <row r="39" spans="3:4" x14ac:dyDescent="0.2">
      <c r="C39" s="74" t="b">
        <v>0</v>
      </c>
      <c r="D39" s="74" t="b">
        <v>0</v>
      </c>
    </row>
    <row r="40" spans="3:4" x14ac:dyDescent="0.2">
      <c r="C40" s="74" t="b">
        <v>0</v>
      </c>
      <c r="D40" s="74" t="b">
        <v>0</v>
      </c>
    </row>
    <row r="41" spans="3:4" x14ac:dyDescent="0.2">
      <c r="C41" s="74" t="b">
        <v>0</v>
      </c>
      <c r="D41" s="74" t="b">
        <v>0</v>
      </c>
    </row>
    <row r="42" spans="3:4" x14ac:dyDescent="0.2">
      <c r="C42" s="74" t="b">
        <v>0</v>
      </c>
      <c r="D42" s="74" t="b">
        <v>0</v>
      </c>
    </row>
    <row r="43" spans="3:4" x14ac:dyDescent="0.2">
      <c r="C43" s="74" t="b">
        <v>0</v>
      </c>
      <c r="D43" s="74" t="b">
        <v>0</v>
      </c>
    </row>
    <row r="44" spans="3:4" x14ac:dyDescent="0.2">
      <c r="C44" s="74" t="b">
        <v>0</v>
      </c>
      <c r="D44" s="74" t="b">
        <v>0</v>
      </c>
    </row>
    <row r="45" spans="3:4" x14ac:dyDescent="0.2">
      <c r="C45" s="74" t="b">
        <v>0</v>
      </c>
      <c r="D45" s="74" t="b">
        <v>0</v>
      </c>
    </row>
    <row r="46" spans="3:4" x14ac:dyDescent="0.2">
      <c r="C46" s="74" t="b">
        <v>0</v>
      </c>
      <c r="D46" s="74" t="b">
        <v>0</v>
      </c>
    </row>
    <row r="47" spans="3:4" x14ac:dyDescent="0.2">
      <c r="C47" s="74" t="b">
        <v>0</v>
      </c>
      <c r="D47" s="74" t="b">
        <v>0</v>
      </c>
    </row>
    <row r="48" spans="3:4" x14ac:dyDescent="0.2">
      <c r="C48" s="74" t="b">
        <v>0</v>
      </c>
      <c r="D48" s="74" t="b">
        <v>0</v>
      </c>
    </row>
    <row r="49" spans="3:4" x14ac:dyDescent="0.2">
      <c r="C49" s="74" t="b">
        <v>0</v>
      </c>
      <c r="D49" s="74" t="b">
        <v>0</v>
      </c>
    </row>
    <row r="50" spans="3:4" x14ac:dyDescent="0.2">
      <c r="C50" s="74" t="b">
        <v>0</v>
      </c>
      <c r="D50" s="74" t="b">
        <v>0</v>
      </c>
    </row>
    <row r="51" spans="3:4" x14ac:dyDescent="0.2">
      <c r="C51" s="74" t="b">
        <v>0</v>
      </c>
      <c r="D51" s="74" t="b">
        <v>0</v>
      </c>
    </row>
    <row r="52" spans="3:4" x14ac:dyDescent="0.2">
      <c r="C52" s="74" t="b">
        <v>0</v>
      </c>
      <c r="D52" s="74" t="b">
        <v>0</v>
      </c>
    </row>
    <row r="53" spans="3:4" x14ac:dyDescent="0.2">
      <c r="C53" s="74" t="b">
        <v>0</v>
      </c>
      <c r="D53" s="74" t="b">
        <v>0</v>
      </c>
    </row>
    <row r="54" spans="3:4" x14ac:dyDescent="0.2">
      <c r="C54" s="74" t="b">
        <v>0</v>
      </c>
      <c r="D54" s="74" t="b">
        <v>0</v>
      </c>
    </row>
    <row r="55" spans="3:4" x14ac:dyDescent="0.2">
      <c r="C55" s="74" t="b">
        <v>0</v>
      </c>
      <c r="D55" s="74" t="b">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7</vt:i4>
      </vt:variant>
    </vt:vector>
  </HeadingPairs>
  <TitlesOfParts>
    <vt:vector size="7" baseType="lpstr">
      <vt:lpstr>Cards</vt:lpstr>
      <vt:lpstr>Info</vt:lpstr>
      <vt:lpstr>Training Setups</vt:lpstr>
      <vt:lpstr>Provincial and Undermarket</vt:lpstr>
      <vt:lpstr>Printable Cards</vt:lpstr>
      <vt:lpstr>Components</vt:lpstr>
      <vt:lpstr>Playtesting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 Donet</cp:lastModifiedBy>
  <cp:revision/>
  <cp:lastPrinted>2026-04-22T00:24:43Z</cp:lastPrinted>
  <dcterms:created xsi:type="dcterms:W3CDTF">2025-12-05T19:41:08Z</dcterms:created>
  <dcterms:modified xsi:type="dcterms:W3CDTF">2026-08-25T19:19:08Z</dcterms:modified>
  <cp:category/>
  <cp:contentStatus/>
</cp:coreProperties>
</file>