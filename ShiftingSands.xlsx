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736bb1ccd5622dcc/Documents/BoardGames/ShiftingSands/"/>
    </mc:Choice>
  </mc:AlternateContent>
  <xr:revisionPtr revIDLastSave="4709" documentId="11_0B1D56BE9CDCCE836B02CE7A5FB0D4A9BBFD1C62" xr6:coauthVersionLast="47" xr6:coauthVersionMax="47" xr10:uidLastSave="{43E468BA-BB90-408B-BE7A-5A8C3FE17CC2}"/>
  <bookViews>
    <workbookView xWindow="-120" yWindow="-120" windowWidth="38640" windowHeight="21120" xr2:uid="{00000000-000D-0000-FFFF-FFFF00000000}"/>
  </bookViews>
  <sheets>
    <sheet name="Cards" sheetId="1" r:id="rId1"/>
    <sheet name="Components" sheetId="8" r:id="rId2"/>
    <sheet name="Playtesting" sheetId="9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8" l="1"/>
  <c r="B4" i="8"/>
  <c r="B3" i="8"/>
  <c r="B20" i="8"/>
  <c r="B19" i="8"/>
  <c r="B18" i="8"/>
  <c r="B12" i="8"/>
  <c r="B13" i="8"/>
  <c r="B10" i="8"/>
  <c r="B11" i="8"/>
  <c r="B9" i="8"/>
  <c r="B8" i="8"/>
  <c r="B7" i="8"/>
  <c r="B6" i="8"/>
  <c r="B5" i="8"/>
</calcChain>
</file>

<file path=xl/sharedStrings.xml><?xml version="1.0" encoding="utf-8"?>
<sst xmlns="http://schemas.openxmlformats.org/spreadsheetml/2006/main" count="266" uniqueCount="240">
  <si>
    <t>Investment Card</t>
  </si>
  <si>
    <t>Law Card</t>
  </si>
  <si>
    <t>Scheme Card</t>
  </si>
  <si>
    <t>Scheme Description</t>
  </si>
  <si>
    <t>Fillibuster</t>
  </si>
  <si>
    <t>Full Coffers</t>
  </si>
  <si>
    <t>Fickle Mercenaries</t>
  </si>
  <si>
    <t xml:space="preserve">Decentralized Wealth </t>
  </si>
  <si>
    <t>Collection Stations</t>
  </si>
  <si>
    <t>Second Thoughts</t>
  </si>
  <si>
    <t>Double Agents</t>
  </si>
  <si>
    <t>Brown Nose</t>
  </si>
  <si>
    <t>Changing Times</t>
  </si>
  <si>
    <t>Questionable Reallocation</t>
  </si>
  <si>
    <t>Mysterious Windfalls</t>
  </si>
  <si>
    <t>Stable Economies</t>
  </si>
  <si>
    <t>Blackmail</t>
  </si>
  <si>
    <t>Lobbyists</t>
  </si>
  <si>
    <t>Unreasonable Distractions</t>
  </si>
  <si>
    <t>Invalid Paperwork</t>
  </si>
  <si>
    <t>Royal Amendment</t>
  </si>
  <si>
    <t>Loyal Citizenry</t>
  </si>
  <si>
    <t>Dangerous Monopolies</t>
  </si>
  <si>
    <t>Frivolous Pursuits</t>
  </si>
  <si>
    <t>Corporate Takeover</t>
  </si>
  <si>
    <t>Royal Bribes</t>
  </si>
  <si>
    <t>Economic Backbone</t>
  </si>
  <si>
    <t>Sabotage</t>
  </si>
  <si>
    <t>Collective Ownership</t>
  </si>
  <si>
    <t>Market Niche</t>
  </si>
  <si>
    <t>Aggressive Tactics</t>
  </si>
  <si>
    <t>Genius Commanders</t>
  </si>
  <si>
    <t>Home Defense</t>
  </si>
  <si>
    <t>Betrayal</t>
  </si>
  <si>
    <t>Damage Redemption</t>
  </si>
  <si>
    <t>Valuable Advisors</t>
  </si>
  <si>
    <t>Undeniable Advisors</t>
  </si>
  <si>
    <t>Chattering Windbags</t>
  </si>
  <si>
    <t>Realistic Priorities</t>
  </si>
  <si>
    <t>Bulk Purchaser</t>
  </si>
  <si>
    <t>Threat to the Throne</t>
  </si>
  <si>
    <t>Valuable Cargo</t>
  </si>
  <si>
    <t>Stone Foundations</t>
  </si>
  <si>
    <t>Elite Troops</t>
  </si>
  <si>
    <t>Environmental Guardians</t>
  </si>
  <si>
    <t>Bazaar</t>
  </si>
  <si>
    <t>Resilient Officer Corps</t>
  </si>
  <si>
    <t>Caravansaray</t>
  </si>
  <si>
    <t>Bloated Bureaucracy</t>
  </si>
  <si>
    <t>War Machines</t>
  </si>
  <si>
    <t>Police Force</t>
  </si>
  <si>
    <t>Equal Partners</t>
  </si>
  <si>
    <t>Criminal Identification</t>
  </si>
  <si>
    <t>Eager Laborers</t>
  </si>
  <si>
    <t>Honorable Marketplace</t>
  </si>
  <si>
    <t>Wary Guards</t>
  </si>
  <si>
    <t>Engaged Empire</t>
  </si>
  <si>
    <t>Information Security</t>
  </si>
  <si>
    <t>Suspicious Advisors</t>
  </si>
  <si>
    <t>Blood Pact</t>
  </si>
  <si>
    <t>Contingency Plans</t>
  </si>
  <si>
    <t>Expert Broker</t>
  </si>
  <si>
    <t>Worthless Procrastinators</t>
  </si>
  <si>
    <t>Codependent Relationship</t>
  </si>
  <si>
    <t>Dangerous Promises</t>
  </si>
  <si>
    <t>Large Middle Class</t>
  </si>
  <si>
    <t>Innovation Hub</t>
  </si>
  <si>
    <t>Law Cards</t>
  </si>
  <si>
    <t>Investment Cards</t>
  </si>
  <si>
    <t>Scheme Cards</t>
  </si>
  <si>
    <t>Player Card Tags</t>
  </si>
  <si>
    <t>Persian Troop tokens</t>
  </si>
  <si>
    <t>Greek Troop tokens</t>
  </si>
  <si>
    <t>Spy tokens</t>
  </si>
  <si>
    <t>Commodity tokens</t>
  </si>
  <si>
    <t>5 Commodities tokens</t>
  </si>
  <si>
    <t>Coin tokens</t>
  </si>
  <si>
    <t>5 Coins tokens</t>
  </si>
  <si>
    <t>Court Board</t>
  </si>
  <si>
    <t>Province Board</t>
  </si>
  <si>
    <t>Battlefield Board</t>
  </si>
  <si>
    <t>Player Screens</t>
  </si>
  <si>
    <t>Player Favor tokens</t>
  </si>
  <si>
    <t>Shared 3-sided dice</t>
  </si>
  <si>
    <t>Shared 6-sided dice</t>
  </si>
  <si>
    <t>Player 6-sided dice</t>
  </si>
  <si>
    <t>Count</t>
  </si>
  <si>
    <t>Base Material</t>
  </si>
  <si>
    <t>Base Cost</t>
  </si>
  <si>
    <t>Deluxe material</t>
  </si>
  <si>
    <t>Deluxe cost</t>
  </si>
  <si>
    <t>Card</t>
  </si>
  <si>
    <t>Wood</t>
  </si>
  <si>
    <t>Metal</t>
  </si>
  <si>
    <t>Game Board</t>
  </si>
  <si>
    <t>Plastic</t>
  </si>
  <si>
    <t>Scheme Envelopes</t>
  </si>
  <si>
    <t>Cloth</t>
  </si>
  <si>
    <t>Irregular Partiality</t>
  </si>
  <si>
    <t>Date</t>
  </si>
  <si>
    <t>Players</t>
  </si>
  <si>
    <t>Virtual</t>
  </si>
  <si>
    <t>Training</t>
  </si>
  <si>
    <t>Greeks per Player</t>
  </si>
  <si>
    <t>Start Time</t>
  </si>
  <si>
    <t>End Time</t>
  </si>
  <si>
    <t>Round 1 End</t>
  </si>
  <si>
    <t>Round 2 End</t>
  </si>
  <si>
    <t>Round 3 End</t>
  </si>
  <si>
    <t>Round 4 End</t>
  </si>
  <si>
    <t>Round 5 End</t>
  </si>
  <si>
    <t>Round 6 End</t>
  </si>
  <si>
    <t>Round 7 End</t>
  </si>
  <si>
    <t>Round 8 End</t>
  </si>
  <si>
    <t>Round 9 End</t>
  </si>
  <si>
    <t>Round 10 End</t>
  </si>
  <si>
    <t>Fire Temple</t>
  </si>
  <si>
    <t>Skillful Orators</t>
  </si>
  <si>
    <t>Setup End</t>
  </si>
  <si>
    <t>Scoring End</t>
  </si>
  <si>
    <t>Lowest Score</t>
  </si>
  <si>
    <t>Highest Score</t>
  </si>
  <si>
    <t>Courtroom Gambling</t>
  </si>
  <si>
    <t>Kingdom Advocates</t>
  </si>
  <si>
    <t>Abusive Power</t>
  </si>
  <si>
    <t>Stalled Front</t>
  </si>
  <si>
    <t>Quality Strength</t>
  </si>
  <si>
    <t>Rallied Opposition</t>
  </si>
  <si>
    <t>Waning Support</t>
  </si>
  <si>
    <t>Painful Progress</t>
  </si>
  <si>
    <t>Move your foremost Law to the back of the Queue</t>
  </si>
  <si>
    <t>Humiliation</t>
  </si>
  <si>
    <t>Misaligned Strategy</t>
  </si>
  <si>
    <t>Iron Command</t>
  </si>
  <si>
    <t>Assassination Attempt</t>
  </si>
  <si>
    <t>Localized Famine</t>
  </si>
  <si>
    <t>Lose half your Commodities</t>
  </si>
  <si>
    <t>Highway Robbery</t>
  </si>
  <si>
    <t>Lose half your Coins</t>
  </si>
  <si>
    <t>Camp Plague</t>
  </si>
  <si>
    <t>Lose half your Troops</t>
  </si>
  <si>
    <t>Weakening Grip</t>
  </si>
  <si>
    <t>Lose half your Spies</t>
  </si>
  <si>
    <t>Corporate Espionage</t>
  </si>
  <si>
    <t>Disard half your cards of each type</t>
  </si>
  <si>
    <t>Culture Shift</t>
  </si>
  <si>
    <t>Blatant Extortion</t>
  </si>
  <si>
    <t>One Man's Trash</t>
  </si>
  <si>
    <t>Honorable Accountability</t>
  </si>
  <si>
    <t>Silver-Tongue</t>
  </si>
  <si>
    <t>Boasting Propaganda</t>
  </si>
  <si>
    <t>Mock Trials</t>
  </si>
  <si>
    <t>Inspiring Command</t>
  </si>
  <si>
    <t>Centralized Economy</t>
  </si>
  <si>
    <t>Partisan Contributions</t>
  </si>
  <si>
    <t>Plastic Magnet</t>
  </si>
  <si>
    <t>Plastic Mini</t>
  </si>
  <si>
    <t>Change the boundary of an active Law</t>
  </si>
  <si>
    <t>Give d6 Coins to the Receiver. Perform an Emergency Trade if needed.</t>
  </si>
  <si>
    <t>Give d6 Spies to the Receiver</t>
  </si>
  <si>
    <t>Give d6 random Cards of each type from your hand to the Receiver</t>
  </si>
  <si>
    <t>Downgrade an Investment by d6 levels</t>
  </si>
  <si>
    <t>Demote a Leader at level d6 by half and send it to the Receiver</t>
  </si>
  <si>
    <t>Demote a Leader by d6 levels</t>
  </si>
  <si>
    <t>Move your foremost Law d6 spaces back in the Queue</t>
  </si>
  <si>
    <t>Move d6 of your Laws each one space back in the Queue</t>
  </si>
  <si>
    <t>Pay d6 Coins to the holder of the King's Favor then give the King's Favor to the Receiver. Perform an Emergency Trade if needed.</t>
  </si>
  <si>
    <t>Downgrade an Investment at or above level d6 by half and send it to the Receiver</t>
  </si>
  <si>
    <t>Give d6 + d6 Troops to the Receiver</t>
  </si>
  <si>
    <t>Give d6 + d6 Commodities to the Receiver</t>
  </si>
  <si>
    <t>Investment HTML Description</t>
  </si>
  <si>
    <t>Move the deliberated Law $L6 additional places back in the queue during Postpone</t>
  </si>
  <si>
    <t>Move the Law $L6 additional places forward in the queue during Prioritize</t>
  </si>
  <si>
    <t xml:space="preserve">You may keep up to $L6 additional Coins when Taxing other Players </t>
  </si>
  <si>
    <t>Gain $L3 additional Coins during Flatter</t>
  </si>
  <si>
    <t>Gain $L3 more Commodities per Coin when Buying from the Undermarket</t>
  </si>
  <si>
    <t>Add $L3 additional Law cards to the bottom of the queue during Petition</t>
  </si>
  <si>
    <t>Purchase up to $L6 additional Troops during Recruit</t>
  </si>
  <si>
    <t>Purchase up to $L6 additional Spies during Infiltrate</t>
  </si>
  <si>
    <t>Gain $L3 more Commodities per Coin when Buying from the Court</t>
  </si>
  <si>
    <t>Gain $L3 additional Coins from outside the Royal Bank when winning a Trial</t>
  </si>
  <si>
    <t>Spend $L3 fewer Cards per Coin when Monetizing in the Undermarket</t>
  </si>
  <si>
    <t>Draw $L6 additional cards from any decks during Brainstorm</t>
  </si>
  <si>
    <t>Purchase up to $L3 Spies when targeted by a Scheme</t>
  </si>
  <si>
    <t>You may repeat Provincial Actions with Leaders that have at least level 7 - $L6</t>
  </si>
  <si>
    <t>You may repeat $L3 Court Actions per round</t>
  </si>
  <si>
    <t>Trade up to $L3 additional Coins when Buying from the Court</t>
  </si>
  <si>
    <t>Trade for up to $L3 additional Coins when Selling to the Court</t>
  </si>
  <si>
    <t>Gain $L3 additional Coins from the Royal Bank when Deploying Troops</t>
  </si>
  <si>
    <t>Provides private Buy Action at Market Rate + $L3</t>
  </si>
  <si>
    <t>Provides private Sell Action at Market Rate - $L3</t>
  </si>
  <si>
    <t>After deploying, purchase and immediately deploy up to $L3 Troops, but no more than your deployed Troops.</t>
  </si>
  <si>
    <t>Convert $L3 additional Coins during Court Donate</t>
  </si>
  <si>
    <t>Add $L6 additional dice to each Roll during a Trial</t>
  </si>
  <si>
    <t>Collect $L6 additional Commodities during Collect</t>
  </si>
  <si>
    <t>Subtract $L3 from Scheme Evasion rolls. An unmodified 6 always succeeds.</t>
  </si>
  <si>
    <t>Subtract $L3 from Scheme Damage rolls</t>
  </si>
  <si>
    <t>Spend $L3 fewer Commodities per Coin when Selling to the Undermarket</t>
  </si>
  <si>
    <t>Spend $L3 fewer Commodities per Coin when Selling to the Court</t>
  </si>
  <si>
    <t>Trade up to $L3 additional Coins when Buying from the Undermarket</t>
  </si>
  <si>
    <t>Trade for up to $L3 additional Coins when Selling to the Undermarket</t>
  </si>
  <si>
    <t>Trade for up to $L3 additional Coins when Monetizing in the Undermarket</t>
  </si>
  <si>
    <t>Provides private Monetize Action at Market Rate + $L3</t>
  </si>
  <si>
    <t>Spend $L3 fewer Cards per Coin when Monetizing in the Court</t>
  </si>
  <si>
    <t>Trade for up to $L3 additional Coins when Monetizing in the Court</t>
  </si>
  <si>
    <t>Draw $L6 additional cards from the top of any discard pile during Brainstorm</t>
  </si>
  <si>
    <t>Convert $L3 additional Coins during Undermarket Donate</t>
  </si>
  <si>
    <t>You may pay 7 - $L6 Commodities to repeat Undermarket Actions</t>
  </si>
  <si>
    <t>Deploy $L3 additional Troops during Deploy</t>
  </si>
  <si>
    <t>Law HTML Description</t>
  </si>
  <si>
    <t>The Royal Bank must have at least $L6 Coins or all Players suffer sanctions on Undermarket Actions</t>
  </si>
  <si>
    <t>The Royal Bank may not have more than $L6 Coins or all Players suffer sanctions on Undermarket Actions</t>
  </si>
  <si>
    <t>Each Player must have at least 3 + $L6 Investments or they will suffer sanctions on Commission</t>
  </si>
  <si>
    <t>No Player may have more than 3 + $L6 Investments or they will suffer sanctions on Commission</t>
  </si>
  <si>
    <t>Each Player must deploy at least $L6 Troops or they will suffer sanctions on Petition</t>
  </si>
  <si>
    <t>No Player may deploy more than $L6 Troops or they will suffer sanctions on Petition</t>
  </si>
  <si>
    <t>Each Player must have at least $L6 sponsored Laws in the Edicts or in the Queue or they will suffer sanctions on Tax</t>
  </si>
  <si>
    <t>No Player may have more than $L6 sponsored Laws in the Edicts or in the queue or they will suffer sanctions on Tax</t>
  </si>
  <si>
    <t>Each Player must have a Leader with at least level $L6 or they will suffer sanctions on Sue</t>
  </si>
  <si>
    <t>No Player may have a Leader higher than level $L6 or they will suffer sanctions on Sue</t>
  </si>
  <si>
    <t>Each Player must Collect at least $L6 Commodities this round or they will suffer sanctions on Recruit</t>
  </si>
  <si>
    <t>No Player may Collect more than $L6 Commodities this round or they will suffer sanctions on Recruit</t>
  </si>
  <si>
    <t>Each Player must have at least 3 + $L6 Leaders or they will suffer sanctions on Build &amp; Upgrade</t>
  </si>
  <si>
    <t>No Player may have more than 3 + $L6 Leaders or they will suffer sanctions on Build &amp; Upgrade</t>
  </si>
  <si>
    <t>Each Player must have at least $L6 Troops or they will suffer sanctions on Collect</t>
  </si>
  <si>
    <t>No Player may have more than $L6 Troops or they will suffer sanctions on Collect</t>
  </si>
  <si>
    <t>At least $L6 Players must use Undermarket Actions or all Players suffer sanctions on Prioritize</t>
  </si>
  <si>
    <t>No more than $L6 Players may use Undermarket Actions or all Players suffer sanctions on Prioritize</t>
  </si>
  <si>
    <t>At least $L6 Players must use Court Actions or all Players suffer sanctions on Flatter</t>
  </si>
  <si>
    <t>No more than $L6 Players may use Court Actions or all Players suffer sanctions on Flatter</t>
  </si>
  <si>
    <t>Each Player must have at least $L6 Cards of each type in hand or they will suffer sanctions on Monetize</t>
  </si>
  <si>
    <t>No Player may have more than $L6 Cards of each type in their hand or they will suffer sanctions on Monetize</t>
  </si>
  <si>
    <t>Each Player must Deploy at least $L6 Troops or they will suffer sanctions on Donate</t>
  </si>
  <si>
    <t>No Player may Deploy more than $L6 Troops or they will suffer sanctions on Donate</t>
  </si>
  <si>
    <t>Each Player must Donate at least $L6 Coins or they will suffer sanctions on Postpone &amp; Prioritize</t>
  </si>
  <si>
    <t>No Player may Donate more than $L6 Coins or they will suffer sanctions on Postpone &amp; Prioritize</t>
  </si>
  <si>
    <t>Each Player must Sue using a Leader with at least level $L6 this round or they will suffer sanctions on Deploy</t>
  </si>
  <si>
    <t>No Player may Sue using a Leader higher than level $L6 this round or they will suffer sanctions on Deploy</t>
  </si>
  <si>
    <t>Each Player must have an Investment with at least level $L6 or they will suffer sanctions on Infiltrate</t>
  </si>
  <si>
    <t>No Player may have an Investment higher than level $L6 or they will suffer sanctions on Infiltrate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</si>
</sst>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800]dddd\,\ mmmm\ dd\,\ yyyy"/>
    <numFmt numFmtId="165" formatCode="[$-F400]h:mm:ss\ AM/PM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vertical="top" wrapText="1"/>
    </xf>
    <xf numFmtId="0" fontId="0" fillId="0" borderId="0" xfId="0" applyAlignment="1">
      <alignment vertical="top"/>
    </xf>
    <xf numFmtId="164" fontId="0" fillId="0" borderId="0" xfId="0" applyNumberFormat="1"/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165" fontId="0" fillId="0" borderId="0" xfId="0" applyNumberFormat="1"/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top" wrapText="1"/>
    </xf>
    <xf numFmtId="0" fontId="0" fillId="0" borderId="0" xfId="0" applyAlignment="1">
      <alignment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 vertical="top"/>
    </xf>
  </cellXfs>
  <cellStyles count="1">
    <cellStyle name="Normal" xfId="0" builtinId="0"/>
  </cellStyles>
  <dxfs count="0"/>
  <tableStyles count="0" defaultTableStyle="TableStyleMedium2" defaultPivotStyle="PivotStyleMedium9"/>
  <colors>
    <mruColors>
      <color rgb="FFEFBF04"/>
      <color rgb="FF1C39BB"/>
      <color rgb="FFCC3333"/>
      <color rgb="FFFFFF66"/>
      <color rgb="FFE5CDA9"/>
      <color rgb="FFFFE26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22/11/relationships/FeaturePropertyBag" Target="featurePropertyBag/featurePropertyBag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I39"/>
  <sheetViews>
    <sheetView tabSelected="1" workbookViewId="0">
      <selection activeCell="E13" sqref="E13"/>
    </sheetView>
  </sheetViews>
  <sheetFormatPr defaultColWidth="9.140625" defaultRowHeight="15" x14ac:dyDescent="0.25"/>
  <cols>
    <col min="1" max="1" width="24.5703125" bestFit="1" customWidth="1"/>
    <col min="2" max="2" width="36.5703125" bestFit="1" customWidth="1"/>
    <col min="3" max="3" width="23.5703125" bestFit="1" customWidth="1"/>
    <col min="4" max="4" width="36.5703125" bestFit="1" customWidth="1"/>
    <col min="5" max="5" width="24.85546875" bestFit="1" customWidth="1"/>
    <col min="6" max="6" width="36.5703125" bestFit="1" customWidth="1"/>
    <col min="7" max="7" width="13" bestFit="1" customWidth="1"/>
    <col min="8" max="8" width="36.5703125" bestFit="1" customWidth="1"/>
    <col min="9" max="9" width="12.5703125" bestFit="1" customWidth="1"/>
    <col min="10" max="10" width="36.140625" bestFit="1" customWidth="1"/>
    <col min="11" max="11" width="39" customWidth="1"/>
  </cols>
  <sheetData>
    <row r="1" spans="1:9" x14ac:dyDescent="0.25">
      <c r="A1" s="7" t="s">
        <v>0</v>
      </c>
      <c r="B1" s="7" t="s">
        <v>170</v>
      </c>
      <c r="C1" s="7" t="s">
        <v>1</v>
      </c>
      <c r="D1" s="7" t="s">
        <v>209</v>
      </c>
      <c r="E1" s="7" t="s">
        <v>2</v>
      </c>
      <c r="F1" s="7" t="s">
        <v>3</v>
      </c>
      <c r="G1" s="7"/>
      <c r="H1" s="7"/>
      <c r="I1" s="7"/>
    </row>
    <row r="2" spans="1:9" ht="45" x14ac:dyDescent="0.25">
      <c r="A2" s="8" t="s">
        <v>4</v>
      </c>
      <c r="B2" s="9" t="s">
        <v>171</v>
      </c>
      <c r="C2" s="8" t="s">
        <v>5</v>
      </c>
      <c r="D2" s="9" t="s">
        <v>210</v>
      </c>
      <c r="E2" s="8" t="s">
        <v>6</v>
      </c>
      <c r="F2" s="9" t="s">
        <v>168</v>
      </c>
      <c r="G2" s="10"/>
      <c r="H2" s="2"/>
      <c r="I2" s="10"/>
    </row>
    <row r="3" spans="1:9" ht="45" x14ac:dyDescent="0.25">
      <c r="A3" s="8" t="s">
        <v>117</v>
      </c>
      <c r="B3" s="9" t="s">
        <v>172</v>
      </c>
      <c r="C3" s="8" t="s">
        <v>7</v>
      </c>
      <c r="D3" s="9" t="s">
        <v>211</v>
      </c>
      <c r="E3" s="8" t="s">
        <v>146</v>
      </c>
      <c r="F3" s="9" t="s">
        <v>158</v>
      </c>
      <c r="G3" s="10"/>
      <c r="H3" s="2"/>
      <c r="I3" s="10"/>
    </row>
    <row r="4" spans="1:9" ht="30" x14ac:dyDescent="0.25">
      <c r="A4" s="8" t="s">
        <v>8</v>
      </c>
      <c r="B4" s="9" t="s">
        <v>173</v>
      </c>
      <c r="C4" s="8" t="s">
        <v>9</v>
      </c>
      <c r="D4" s="9" t="s">
        <v>157</v>
      </c>
      <c r="E4" s="8" t="s">
        <v>10</v>
      </c>
      <c r="F4" s="9" t="s">
        <v>159</v>
      </c>
      <c r="G4" s="10"/>
      <c r="H4" s="3"/>
      <c r="I4" s="10"/>
    </row>
    <row r="5" spans="1:9" ht="30" x14ac:dyDescent="0.25">
      <c r="A5" s="11" t="s">
        <v>11</v>
      </c>
      <c r="B5" s="9" t="s">
        <v>174</v>
      </c>
      <c r="C5" s="8" t="s">
        <v>12</v>
      </c>
      <c r="D5" s="9" t="s">
        <v>157</v>
      </c>
      <c r="E5" s="8" t="s">
        <v>13</v>
      </c>
      <c r="F5" s="9" t="s">
        <v>169</v>
      </c>
      <c r="G5" s="10"/>
      <c r="H5" s="2"/>
      <c r="I5" s="10"/>
    </row>
    <row r="6" spans="1:9" ht="45" x14ac:dyDescent="0.25">
      <c r="A6" s="8" t="s">
        <v>14</v>
      </c>
      <c r="B6" s="9" t="s">
        <v>175</v>
      </c>
      <c r="C6" s="8" t="s">
        <v>15</v>
      </c>
      <c r="D6" s="9" t="s">
        <v>212</v>
      </c>
      <c r="E6" s="8" t="s">
        <v>143</v>
      </c>
      <c r="F6" s="9" t="s">
        <v>160</v>
      </c>
      <c r="G6" s="10"/>
      <c r="H6" s="3"/>
      <c r="I6" s="10"/>
    </row>
    <row r="7" spans="1:9" ht="45" x14ac:dyDescent="0.25">
      <c r="A7" s="8" t="s">
        <v>17</v>
      </c>
      <c r="B7" s="9" t="s">
        <v>176</v>
      </c>
      <c r="C7" s="8" t="s">
        <v>18</v>
      </c>
      <c r="D7" s="1" t="s">
        <v>213</v>
      </c>
      <c r="E7" s="8" t="s">
        <v>135</v>
      </c>
      <c r="F7" s="9" t="s">
        <v>136</v>
      </c>
      <c r="G7" s="10"/>
      <c r="H7" s="3"/>
      <c r="I7" s="10"/>
    </row>
    <row r="8" spans="1:9" ht="30" x14ac:dyDescent="0.25">
      <c r="A8" s="8" t="s">
        <v>21</v>
      </c>
      <c r="B8" s="9" t="s">
        <v>177</v>
      </c>
      <c r="C8" s="8" t="s">
        <v>98</v>
      </c>
      <c r="D8" s="9" t="s">
        <v>157</v>
      </c>
      <c r="E8" s="8" t="s">
        <v>137</v>
      </c>
      <c r="F8" s="12" t="s">
        <v>138</v>
      </c>
      <c r="G8" s="10"/>
      <c r="H8" s="2"/>
      <c r="I8" s="10"/>
    </row>
    <row r="9" spans="1:9" ht="30" x14ac:dyDescent="0.25">
      <c r="A9" s="8" t="s">
        <v>149</v>
      </c>
      <c r="B9" s="9" t="s">
        <v>178</v>
      </c>
      <c r="C9" s="8" t="s">
        <v>20</v>
      </c>
      <c r="D9" s="9" t="s">
        <v>157</v>
      </c>
      <c r="E9" s="8" t="s">
        <v>139</v>
      </c>
      <c r="F9" s="9" t="s">
        <v>140</v>
      </c>
      <c r="G9" s="10"/>
      <c r="H9" s="3"/>
      <c r="I9" s="10"/>
    </row>
    <row r="10" spans="1:9" ht="45" x14ac:dyDescent="0.25">
      <c r="A10" s="8" t="s">
        <v>25</v>
      </c>
      <c r="B10" s="9" t="s">
        <v>179</v>
      </c>
      <c r="C10" s="8" t="s">
        <v>148</v>
      </c>
      <c r="D10" s="9" t="s">
        <v>236</v>
      </c>
      <c r="E10" s="8" t="s">
        <v>141</v>
      </c>
      <c r="F10" s="9" t="s">
        <v>142</v>
      </c>
      <c r="G10" s="10"/>
      <c r="H10" s="2"/>
      <c r="I10" s="10"/>
    </row>
    <row r="11" spans="1:9" ht="45" x14ac:dyDescent="0.25">
      <c r="A11" s="8" t="s">
        <v>122</v>
      </c>
      <c r="B11" s="9" t="s">
        <v>180</v>
      </c>
      <c r="C11" s="8" t="s">
        <v>23</v>
      </c>
      <c r="D11" s="9" t="s">
        <v>237</v>
      </c>
      <c r="E11" s="8" t="s">
        <v>145</v>
      </c>
      <c r="F11" s="9" t="s">
        <v>144</v>
      </c>
      <c r="G11" s="10"/>
      <c r="H11" s="2"/>
      <c r="I11" s="10"/>
    </row>
    <row r="12" spans="1:9" ht="45" x14ac:dyDescent="0.25">
      <c r="A12" s="8" t="s">
        <v>29</v>
      </c>
      <c r="B12" s="9" t="s">
        <v>181</v>
      </c>
      <c r="C12" s="8" t="s">
        <v>26</v>
      </c>
      <c r="D12" s="9" t="s">
        <v>238</v>
      </c>
      <c r="E12" s="8" t="s">
        <v>24</v>
      </c>
      <c r="F12" s="9" t="s">
        <v>167</v>
      </c>
      <c r="G12" s="10"/>
      <c r="H12" s="2"/>
      <c r="I12" s="10"/>
    </row>
    <row r="13" spans="1:9" ht="45" x14ac:dyDescent="0.25">
      <c r="A13" s="8" t="s">
        <v>31</v>
      </c>
      <c r="B13" s="9" t="s">
        <v>182</v>
      </c>
      <c r="C13" s="8" t="s">
        <v>28</v>
      </c>
      <c r="D13" s="9" t="s">
        <v>239</v>
      </c>
      <c r="E13" s="8" t="s">
        <v>27</v>
      </c>
      <c r="F13" s="9" t="s">
        <v>161</v>
      </c>
      <c r="G13" s="10"/>
      <c r="H13" s="2"/>
      <c r="I13" s="10"/>
    </row>
    <row r="14" spans="1:9" ht="45" x14ac:dyDescent="0.25">
      <c r="A14" s="8" t="s">
        <v>34</v>
      </c>
      <c r="B14" s="9" t="s">
        <v>183</v>
      </c>
      <c r="C14" s="8" t="s">
        <v>30</v>
      </c>
      <c r="D14" s="9" t="s">
        <v>214</v>
      </c>
      <c r="E14" s="8" t="s">
        <v>22</v>
      </c>
      <c r="F14" s="9" t="s">
        <v>161</v>
      </c>
      <c r="G14" s="10"/>
      <c r="H14" s="3"/>
      <c r="I14" s="10"/>
    </row>
    <row r="15" spans="1:9" ht="45" x14ac:dyDescent="0.25">
      <c r="A15" s="8" t="s">
        <v>152</v>
      </c>
      <c r="B15" s="9" t="s">
        <v>184</v>
      </c>
      <c r="C15" s="8" t="s">
        <v>32</v>
      </c>
      <c r="D15" s="9" t="s">
        <v>215</v>
      </c>
      <c r="E15" s="8" t="s">
        <v>33</v>
      </c>
      <c r="F15" s="9" t="s">
        <v>162</v>
      </c>
      <c r="G15" s="10"/>
      <c r="H15" s="3"/>
      <c r="I15" s="10"/>
    </row>
    <row r="16" spans="1:9" ht="60" x14ac:dyDescent="0.25">
      <c r="A16" s="8" t="s">
        <v>36</v>
      </c>
      <c r="B16" s="9" t="s">
        <v>185</v>
      </c>
      <c r="C16" s="8" t="s">
        <v>35</v>
      </c>
      <c r="D16" s="9" t="s">
        <v>216</v>
      </c>
      <c r="E16" s="8" t="s">
        <v>134</v>
      </c>
      <c r="F16" s="9" t="s">
        <v>163</v>
      </c>
      <c r="G16" s="10"/>
      <c r="H16" s="2"/>
      <c r="I16" s="10"/>
    </row>
    <row r="17" spans="1:9" ht="60" x14ac:dyDescent="0.25">
      <c r="A17" s="8" t="s">
        <v>39</v>
      </c>
      <c r="B17" s="9" t="s">
        <v>186</v>
      </c>
      <c r="C17" s="8" t="s">
        <v>37</v>
      </c>
      <c r="D17" s="9" t="s">
        <v>217</v>
      </c>
      <c r="E17" s="8" t="s">
        <v>131</v>
      </c>
      <c r="F17" s="9" t="s">
        <v>163</v>
      </c>
      <c r="G17" s="10"/>
      <c r="H17" s="2"/>
      <c r="I17" s="10"/>
    </row>
    <row r="18" spans="1:9" ht="45" x14ac:dyDescent="0.25">
      <c r="A18" s="8" t="s">
        <v>41</v>
      </c>
      <c r="B18" s="9" t="s">
        <v>187</v>
      </c>
      <c r="C18" s="8" t="s">
        <v>38</v>
      </c>
      <c r="D18" s="9" t="s">
        <v>218</v>
      </c>
      <c r="E18" s="8" t="s">
        <v>19</v>
      </c>
      <c r="F18" s="9" t="s">
        <v>130</v>
      </c>
      <c r="G18" s="10"/>
      <c r="H18" s="2"/>
      <c r="I18" s="10"/>
    </row>
    <row r="19" spans="1:9" ht="45" x14ac:dyDescent="0.25">
      <c r="A19" s="8" t="s">
        <v>43</v>
      </c>
      <c r="B19" s="9" t="s">
        <v>188</v>
      </c>
      <c r="C19" s="8" t="s">
        <v>40</v>
      </c>
      <c r="D19" s="9" t="s">
        <v>219</v>
      </c>
      <c r="E19" s="8" t="s">
        <v>127</v>
      </c>
      <c r="F19" s="9" t="s">
        <v>164</v>
      </c>
      <c r="G19" s="10"/>
      <c r="H19" s="2"/>
      <c r="I19" s="10"/>
    </row>
    <row r="20" spans="1:9" ht="45" x14ac:dyDescent="0.25">
      <c r="A20" s="8" t="s">
        <v>45</v>
      </c>
      <c r="B20" s="9" t="s">
        <v>189</v>
      </c>
      <c r="C20" s="8" t="s">
        <v>42</v>
      </c>
      <c r="D20" s="9" t="s">
        <v>220</v>
      </c>
      <c r="E20" s="8" t="s">
        <v>128</v>
      </c>
      <c r="F20" s="9" t="s">
        <v>165</v>
      </c>
      <c r="G20" s="10"/>
      <c r="H20" s="3"/>
      <c r="I20" s="10"/>
    </row>
    <row r="21" spans="1:9" ht="45" x14ac:dyDescent="0.25">
      <c r="A21" s="8" t="s">
        <v>47</v>
      </c>
      <c r="B21" s="9" t="s">
        <v>190</v>
      </c>
      <c r="C21" s="8" t="s">
        <v>44</v>
      </c>
      <c r="D21" s="9" t="s">
        <v>221</v>
      </c>
      <c r="E21" s="8" t="s">
        <v>132</v>
      </c>
      <c r="F21" s="9" t="s">
        <v>164</v>
      </c>
      <c r="G21" s="10"/>
      <c r="H21" s="3"/>
      <c r="I21" s="10"/>
    </row>
    <row r="22" spans="1:9" ht="60" x14ac:dyDescent="0.25">
      <c r="A22" s="8" t="s">
        <v>49</v>
      </c>
      <c r="B22" s="9" t="s">
        <v>191</v>
      </c>
      <c r="C22" s="8" t="s">
        <v>46</v>
      </c>
      <c r="D22" s="9" t="s">
        <v>222</v>
      </c>
      <c r="E22" s="8" t="s">
        <v>16</v>
      </c>
      <c r="F22" s="9" t="s">
        <v>166</v>
      </c>
      <c r="G22" s="10"/>
      <c r="H22" s="3"/>
      <c r="I22" s="10"/>
    </row>
    <row r="23" spans="1:9" ht="45" x14ac:dyDescent="0.25">
      <c r="A23" s="8" t="s">
        <v>150</v>
      </c>
      <c r="B23" s="9" t="s">
        <v>192</v>
      </c>
      <c r="C23" s="8" t="s">
        <v>48</v>
      </c>
      <c r="D23" s="9" t="s">
        <v>223</v>
      </c>
      <c r="E23" s="10"/>
      <c r="F23" s="3"/>
    </row>
    <row r="24" spans="1:9" ht="45" x14ac:dyDescent="0.25">
      <c r="A24" s="8" t="s">
        <v>151</v>
      </c>
      <c r="B24" s="9" t="s">
        <v>193</v>
      </c>
      <c r="C24" s="8" t="s">
        <v>50</v>
      </c>
      <c r="D24" s="9" t="s">
        <v>224</v>
      </c>
      <c r="E24" s="10"/>
      <c r="F24" s="3"/>
    </row>
    <row r="25" spans="1:9" ht="45" x14ac:dyDescent="0.25">
      <c r="A25" s="8" t="s">
        <v>53</v>
      </c>
      <c r="B25" s="9" t="s">
        <v>194</v>
      </c>
      <c r="C25" s="8" t="s">
        <v>51</v>
      </c>
      <c r="D25" s="9" t="s">
        <v>225</v>
      </c>
      <c r="E25" s="10"/>
      <c r="F25" s="3"/>
    </row>
    <row r="26" spans="1:9" ht="45" x14ac:dyDescent="0.25">
      <c r="A26" s="8" t="s">
        <v>55</v>
      </c>
      <c r="B26" s="9" t="s">
        <v>195</v>
      </c>
      <c r="C26" s="8" t="s">
        <v>52</v>
      </c>
      <c r="D26" s="9" t="s">
        <v>226</v>
      </c>
      <c r="E26" s="10"/>
      <c r="F26" s="3"/>
    </row>
    <row r="27" spans="1:9" ht="45" x14ac:dyDescent="0.25">
      <c r="A27" s="8" t="s">
        <v>57</v>
      </c>
      <c r="B27" s="9" t="s">
        <v>196</v>
      </c>
      <c r="C27" s="8" t="s">
        <v>54</v>
      </c>
      <c r="D27" s="9" t="s">
        <v>227</v>
      </c>
      <c r="E27" s="10"/>
      <c r="F27" s="3"/>
    </row>
    <row r="28" spans="1:9" ht="45" x14ac:dyDescent="0.25">
      <c r="A28" s="8" t="s">
        <v>59</v>
      </c>
      <c r="B28" s="9" t="s">
        <v>197</v>
      </c>
      <c r="C28" s="8" t="s">
        <v>56</v>
      </c>
      <c r="D28" s="9" t="s">
        <v>228</v>
      </c>
      <c r="E28" s="10"/>
      <c r="F28" s="3"/>
    </row>
    <row r="29" spans="1:9" ht="45" x14ac:dyDescent="0.25">
      <c r="A29" s="8" t="s">
        <v>61</v>
      </c>
      <c r="B29" s="9" t="s">
        <v>198</v>
      </c>
      <c r="C29" s="8" t="s">
        <v>58</v>
      </c>
      <c r="D29" s="9" t="s">
        <v>229</v>
      </c>
      <c r="E29" s="10"/>
      <c r="F29" s="3"/>
    </row>
    <row r="30" spans="1:9" ht="45" x14ac:dyDescent="0.25">
      <c r="A30" s="8" t="s">
        <v>63</v>
      </c>
      <c r="B30" s="9" t="s">
        <v>199</v>
      </c>
      <c r="C30" s="8" t="s">
        <v>60</v>
      </c>
      <c r="D30" s="9" t="s">
        <v>230</v>
      </c>
      <c r="E30" s="10"/>
      <c r="F30" s="3"/>
    </row>
    <row r="31" spans="1:9" ht="45" x14ac:dyDescent="0.25">
      <c r="A31" s="8" t="s">
        <v>64</v>
      </c>
      <c r="B31" s="9" t="s">
        <v>200</v>
      </c>
      <c r="C31" s="8" t="s">
        <v>62</v>
      </c>
      <c r="D31" s="9" t="s">
        <v>231</v>
      </c>
      <c r="E31" s="10"/>
      <c r="F31" s="3"/>
    </row>
    <row r="32" spans="1:9" ht="45" x14ac:dyDescent="0.25">
      <c r="A32" s="8" t="s">
        <v>65</v>
      </c>
      <c r="B32" s="9" t="s">
        <v>201</v>
      </c>
      <c r="C32" s="11" t="s">
        <v>125</v>
      </c>
      <c r="D32" s="9" t="s">
        <v>232</v>
      </c>
      <c r="E32" s="10"/>
      <c r="F32" s="3"/>
    </row>
    <row r="33" spans="1:6" ht="45" x14ac:dyDescent="0.25">
      <c r="A33" s="8" t="s">
        <v>66</v>
      </c>
      <c r="B33" s="9" t="s">
        <v>202</v>
      </c>
      <c r="C33" s="8" t="s">
        <v>126</v>
      </c>
      <c r="D33" s="9" t="s">
        <v>233</v>
      </c>
      <c r="E33" s="10"/>
      <c r="F33" s="3"/>
    </row>
    <row r="34" spans="1:6" ht="45" x14ac:dyDescent="0.25">
      <c r="A34" s="8" t="s">
        <v>116</v>
      </c>
      <c r="B34" s="9" t="s">
        <v>203</v>
      </c>
      <c r="C34" s="8" t="s">
        <v>153</v>
      </c>
      <c r="D34" s="9" t="s">
        <v>234</v>
      </c>
      <c r="E34" s="10"/>
      <c r="F34" s="3"/>
    </row>
    <row r="35" spans="1:6" ht="45" x14ac:dyDescent="0.25">
      <c r="A35" s="8" t="s">
        <v>123</v>
      </c>
      <c r="B35" s="9" t="s">
        <v>204</v>
      </c>
      <c r="C35" s="8" t="s">
        <v>154</v>
      </c>
      <c r="D35" s="9" t="s">
        <v>235</v>
      </c>
      <c r="E35" s="10"/>
      <c r="F35" s="3"/>
    </row>
    <row r="36" spans="1:6" ht="30" x14ac:dyDescent="0.25">
      <c r="A36" s="8" t="s">
        <v>147</v>
      </c>
      <c r="B36" s="9" t="s">
        <v>205</v>
      </c>
      <c r="C36" s="10"/>
      <c r="D36" s="3"/>
      <c r="E36" s="10"/>
    </row>
    <row r="37" spans="1:6" ht="30" x14ac:dyDescent="0.25">
      <c r="A37" s="8" t="s">
        <v>124</v>
      </c>
      <c r="B37" s="9" t="s">
        <v>206</v>
      </c>
      <c r="C37" s="10"/>
      <c r="D37" s="3"/>
      <c r="E37" s="10"/>
    </row>
    <row r="38" spans="1:6" ht="30" x14ac:dyDescent="0.25">
      <c r="A38" s="8" t="s">
        <v>129</v>
      </c>
      <c r="B38" s="9" t="s">
        <v>207</v>
      </c>
      <c r="C38" s="10"/>
      <c r="D38" s="3"/>
      <c r="E38" s="10"/>
    </row>
    <row r="39" spans="1:6" ht="30" x14ac:dyDescent="0.25">
      <c r="A39" s="8" t="s">
        <v>133</v>
      </c>
      <c r="B39" s="9" t="s">
        <v>208</v>
      </c>
      <c r="C39" s="10"/>
      <c r="D39" s="3"/>
      <c r="E39" s="10"/>
    </row>
  </sheetData>
  <pageMargins left="0.25" right="0.25" top="0.75" bottom="0.75" header="0.3" footer="0.3"/>
  <pageSetup scale="37" firstPageNumber="0" fitToWidth="0" orientation="portrait" blackAndWhite="1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DA35E-BFC3-134A-A064-89D65A8B31CF}">
  <dimension ref="A1:F21"/>
  <sheetViews>
    <sheetView zoomScaleNormal="60" zoomScaleSheetLayoutView="100" workbookViewId="0">
      <selection activeCell="E14" sqref="E14"/>
    </sheetView>
  </sheetViews>
  <sheetFormatPr defaultRowHeight="15" x14ac:dyDescent="0.25"/>
  <cols>
    <col min="1" max="1" width="19.5703125" bestFit="1" customWidth="1"/>
    <col min="3" max="3" width="12.140625" bestFit="1" customWidth="1"/>
    <col min="4" max="4" width="8.85546875" bestFit="1" customWidth="1"/>
    <col min="5" max="5" width="13.85546875" bestFit="1" customWidth="1"/>
    <col min="6" max="6" width="10.28515625" bestFit="1" customWidth="1"/>
  </cols>
  <sheetData>
    <row r="1" spans="1:6" x14ac:dyDescent="0.25">
      <c r="B1" t="s">
        <v>86</v>
      </c>
      <c r="C1" t="s">
        <v>87</v>
      </c>
      <c r="D1" t="s">
        <v>88</v>
      </c>
      <c r="E1" t="s">
        <v>89</v>
      </c>
      <c r="F1" t="s">
        <v>90</v>
      </c>
    </row>
    <row r="2" spans="1:6" x14ac:dyDescent="0.25">
      <c r="A2" t="s">
        <v>67</v>
      </c>
      <c r="B2">
        <f>30*2</f>
        <v>60</v>
      </c>
      <c r="C2" t="s">
        <v>91</v>
      </c>
      <c r="D2">
        <v>27.7</v>
      </c>
    </row>
    <row r="3" spans="1:6" x14ac:dyDescent="0.25">
      <c r="A3" t="s">
        <v>68</v>
      </c>
      <c r="B3">
        <f>34*2</f>
        <v>68</v>
      </c>
      <c r="C3" t="s">
        <v>91</v>
      </c>
      <c r="D3">
        <v>27.7</v>
      </c>
    </row>
    <row r="4" spans="1:6" x14ac:dyDescent="0.25">
      <c r="A4" t="s">
        <v>69</v>
      </c>
      <c r="B4">
        <f>18*3</f>
        <v>54</v>
      </c>
      <c r="C4" t="s">
        <v>91</v>
      </c>
      <c r="D4">
        <v>30.75</v>
      </c>
    </row>
    <row r="5" spans="1:6" x14ac:dyDescent="0.25">
      <c r="A5" t="s">
        <v>70</v>
      </c>
      <c r="B5">
        <f>2*6+6*6</f>
        <v>48</v>
      </c>
      <c r="C5" t="s">
        <v>155</v>
      </c>
    </row>
    <row r="6" spans="1:6" x14ac:dyDescent="0.25">
      <c r="A6" t="s">
        <v>82</v>
      </c>
      <c r="B6">
        <f>1*6+10*6</f>
        <v>66</v>
      </c>
      <c r="C6" t="s">
        <v>95</v>
      </c>
      <c r="E6" t="s">
        <v>92</v>
      </c>
    </row>
    <row r="7" spans="1:6" x14ac:dyDescent="0.25">
      <c r="A7" t="s">
        <v>71</v>
      </c>
      <c r="B7">
        <f>10*6+10</f>
        <v>70</v>
      </c>
      <c r="C7" t="s">
        <v>95</v>
      </c>
      <c r="E7" t="s">
        <v>156</v>
      </c>
    </row>
    <row r="8" spans="1:6" x14ac:dyDescent="0.25">
      <c r="A8" t="s">
        <v>72</v>
      </c>
      <c r="B8">
        <f>2*8*6</f>
        <v>96</v>
      </c>
      <c r="C8" t="s">
        <v>95</v>
      </c>
      <c r="E8" t="s">
        <v>156</v>
      </c>
    </row>
    <row r="9" spans="1:6" x14ac:dyDescent="0.25">
      <c r="A9" t="s">
        <v>73</v>
      </c>
      <c r="B9">
        <f>5*6</f>
        <v>30</v>
      </c>
      <c r="C9" t="s">
        <v>95</v>
      </c>
      <c r="E9" t="s">
        <v>156</v>
      </c>
    </row>
    <row r="10" spans="1:6" x14ac:dyDescent="0.25">
      <c r="A10" t="s">
        <v>74</v>
      </c>
      <c r="B10">
        <f>5*6</f>
        <v>30</v>
      </c>
      <c r="C10" t="s">
        <v>95</v>
      </c>
      <c r="E10" t="s">
        <v>92</v>
      </c>
    </row>
    <row r="11" spans="1:6" x14ac:dyDescent="0.25">
      <c r="A11" t="s">
        <v>75</v>
      </c>
      <c r="B11">
        <f>(30*6-B10)/5</f>
        <v>30</v>
      </c>
      <c r="C11" t="s">
        <v>95</v>
      </c>
      <c r="E11" t="s">
        <v>92</v>
      </c>
    </row>
    <row r="12" spans="1:6" x14ac:dyDescent="0.25">
      <c r="A12" t="s">
        <v>76</v>
      </c>
      <c r="B12">
        <f>5*6</f>
        <v>30</v>
      </c>
      <c r="C12" t="s">
        <v>95</v>
      </c>
      <c r="E12" t="s">
        <v>93</v>
      </c>
    </row>
    <row r="13" spans="1:6" x14ac:dyDescent="0.25">
      <c r="A13" t="s">
        <v>77</v>
      </c>
      <c r="B13">
        <f>(15*6-B12)/5</f>
        <v>12</v>
      </c>
      <c r="C13" t="s">
        <v>95</v>
      </c>
      <c r="E13" t="s">
        <v>93</v>
      </c>
    </row>
    <row r="14" spans="1:6" x14ac:dyDescent="0.25">
      <c r="A14" t="s">
        <v>78</v>
      </c>
      <c r="B14">
        <v>1</v>
      </c>
      <c r="C14" t="s">
        <v>94</v>
      </c>
    </row>
    <row r="15" spans="1:6" x14ac:dyDescent="0.25">
      <c r="A15" t="s">
        <v>79</v>
      </c>
      <c r="B15">
        <v>1</v>
      </c>
      <c r="C15" t="s">
        <v>94</v>
      </c>
    </row>
    <row r="16" spans="1:6" x14ac:dyDescent="0.25">
      <c r="A16" t="s">
        <v>80</v>
      </c>
      <c r="B16">
        <v>1</v>
      </c>
      <c r="C16" t="s">
        <v>94</v>
      </c>
    </row>
    <row r="17" spans="1:3" x14ac:dyDescent="0.25">
      <c r="A17" t="s">
        <v>81</v>
      </c>
      <c r="B17">
        <v>6</v>
      </c>
      <c r="C17" t="s">
        <v>91</v>
      </c>
    </row>
    <row r="18" spans="1:3" x14ac:dyDescent="0.25">
      <c r="A18" t="s">
        <v>85</v>
      </c>
      <c r="B18">
        <f>10*6</f>
        <v>60</v>
      </c>
      <c r="C18" t="s">
        <v>95</v>
      </c>
    </row>
    <row r="19" spans="1:3" x14ac:dyDescent="0.25">
      <c r="A19" t="s">
        <v>84</v>
      </c>
      <c r="B19">
        <f>5*7</f>
        <v>35</v>
      </c>
      <c r="C19" t="s">
        <v>95</v>
      </c>
    </row>
    <row r="20" spans="1:3" x14ac:dyDescent="0.25">
      <c r="A20" t="s">
        <v>83</v>
      </c>
      <c r="B20">
        <f>5*7</f>
        <v>35</v>
      </c>
      <c r="C20" t="s">
        <v>95</v>
      </c>
    </row>
    <row r="21" spans="1:3" x14ac:dyDescent="0.25">
      <c r="A21" t="s">
        <v>96</v>
      </c>
      <c r="B21">
        <v>6</v>
      </c>
      <c r="C21" t="s">
        <v>97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C83F89-2724-CA43-A519-59213A612B31}">
  <dimension ref="A1:U55"/>
  <sheetViews>
    <sheetView topLeftCell="D1" zoomScaleNormal="60" zoomScaleSheetLayoutView="100" workbookViewId="0">
      <pane ySplit="1" topLeftCell="A2" activePane="bottomLeft" state="frozen"/>
      <selection activeCell="B1" sqref="B1"/>
      <selection pane="bottomLeft" activeCell="G15" sqref="G15"/>
    </sheetView>
  </sheetViews>
  <sheetFormatPr defaultRowHeight="15" x14ac:dyDescent="0.25"/>
  <cols>
    <col min="1" max="1" width="26" style="4" bestFit="1" customWidth="1"/>
    <col min="2" max="2" width="7.42578125" bestFit="1" customWidth="1"/>
    <col min="3" max="3" width="6.7109375" customWidth="1"/>
    <col min="4" max="4" width="8.28515625" bestFit="1" customWidth="1"/>
    <col min="5" max="5" width="16.28515625" bestFit="1" customWidth="1"/>
    <col min="6" max="6" width="12.5703125" bestFit="1" customWidth="1"/>
    <col min="7" max="7" width="12" bestFit="1" customWidth="1"/>
    <col min="8" max="9" width="11.42578125" style="6" bestFit="1" customWidth="1"/>
    <col min="10" max="10" width="10.28515625" style="6" bestFit="1" customWidth="1"/>
    <col min="11" max="11" width="11.42578125" style="6" bestFit="1" customWidth="1"/>
    <col min="12" max="19" width="11.85546875" style="6" bestFit="1" customWidth="1"/>
    <col min="20" max="20" width="12.85546875" style="6" bestFit="1" customWidth="1"/>
    <col min="21" max="21" width="12.5703125" bestFit="1" customWidth="1"/>
  </cols>
  <sheetData>
    <row r="1" spans="1:21" x14ac:dyDescent="0.25">
      <c r="A1" t="s">
        <v>99</v>
      </c>
      <c r="B1" t="s">
        <v>100</v>
      </c>
      <c r="C1" t="s">
        <v>101</v>
      </c>
      <c r="D1" t="s">
        <v>102</v>
      </c>
      <c r="E1" t="s">
        <v>103</v>
      </c>
      <c r="F1" t="s">
        <v>121</v>
      </c>
      <c r="G1" t="s">
        <v>120</v>
      </c>
      <c r="H1" t="s">
        <v>104</v>
      </c>
      <c r="I1" t="s">
        <v>105</v>
      </c>
      <c r="J1" s="6" t="s">
        <v>118</v>
      </c>
      <c r="K1" t="s">
        <v>106</v>
      </c>
      <c r="L1" t="s">
        <v>107</v>
      </c>
      <c r="M1" t="s">
        <v>108</v>
      </c>
      <c r="N1" t="s">
        <v>109</v>
      </c>
      <c r="O1" t="s">
        <v>110</v>
      </c>
      <c r="P1" t="s">
        <v>111</v>
      </c>
      <c r="Q1" t="s">
        <v>112</v>
      </c>
      <c r="R1" t="s">
        <v>113</v>
      </c>
      <c r="S1" t="s">
        <v>114</v>
      </c>
      <c r="T1" t="s">
        <v>115</v>
      </c>
      <c r="U1" t="s">
        <v>119</v>
      </c>
    </row>
    <row r="2" spans="1:21" x14ac:dyDescent="0.25">
      <c r="A2" s="4">
        <v>46075</v>
      </c>
      <c r="B2">
        <v>6</v>
      </c>
      <c r="C2" s="5" t="b">
        <v>0</v>
      </c>
      <c r="D2" s="5" t="b">
        <v>0</v>
      </c>
      <c r="E2">
        <v>12</v>
      </c>
      <c r="F2">
        <v>17</v>
      </c>
      <c r="H2" s="6">
        <v>0.79166666666666663</v>
      </c>
      <c r="I2" s="6">
        <v>0.93055555555555558</v>
      </c>
      <c r="K2" s="6">
        <v>0.81458333333333333</v>
      </c>
      <c r="L2" s="6">
        <v>0.83125000000000004</v>
      </c>
      <c r="M2" s="6">
        <v>0.85486111111111107</v>
      </c>
      <c r="N2" s="6">
        <v>0.87777777777777777</v>
      </c>
      <c r="O2" s="6">
        <v>0.90069444444444446</v>
      </c>
      <c r="P2" s="6">
        <v>0.92638888888888893</v>
      </c>
    </row>
    <row r="3" spans="1:21" x14ac:dyDescent="0.25">
      <c r="A3" s="4">
        <v>46089</v>
      </c>
      <c r="B3">
        <v>6</v>
      </c>
      <c r="C3" s="5" t="b">
        <v>0</v>
      </c>
      <c r="D3" s="5" t="b">
        <v>0</v>
      </c>
      <c r="E3">
        <v>12</v>
      </c>
      <c r="F3">
        <v>18</v>
      </c>
      <c r="G3">
        <v>1</v>
      </c>
      <c r="H3" s="6">
        <v>0.68541666666666667</v>
      </c>
      <c r="I3" s="6">
        <v>0.86527777777777781</v>
      </c>
      <c r="J3" s="6">
        <v>0.6958333333333333</v>
      </c>
      <c r="K3" s="6">
        <v>0.70763888888888893</v>
      </c>
      <c r="L3" s="6">
        <v>0.7270833333333333</v>
      </c>
      <c r="M3" s="6">
        <v>0.75069444444444444</v>
      </c>
      <c r="N3" s="6">
        <v>0.77500000000000002</v>
      </c>
      <c r="O3" s="6">
        <v>0.80347222222222225</v>
      </c>
      <c r="P3" s="6">
        <v>0.82986111111111116</v>
      </c>
      <c r="Q3" s="6">
        <v>0.86041666666666672</v>
      </c>
      <c r="U3" s="6">
        <v>0.86527777777777781</v>
      </c>
    </row>
    <row r="4" spans="1:21" x14ac:dyDescent="0.25">
      <c r="A4" s="4">
        <v>46105</v>
      </c>
      <c r="B4">
        <v>6</v>
      </c>
      <c r="C4" s="5" t="b">
        <v>0</v>
      </c>
      <c r="D4" s="5" t="b">
        <v>0</v>
      </c>
      <c r="E4">
        <v>12</v>
      </c>
      <c r="F4">
        <v>17</v>
      </c>
      <c r="G4">
        <v>10</v>
      </c>
      <c r="H4" s="6">
        <v>0.77500000000000002</v>
      </c>
      <c r="I4" s="6">
        <v>0.92777777777777781</v>
      </c>
      <c r="J4" s="6">
        <v>0.78472222222222221</v>
      </c>
      <c r="K4" s="6">
        <v>0.79236111111111107</v>
      </c>
      <c r="L4" s="6">
        <v>0.81111111111111112</v>
      </c>
      <c r="M4" s="6">
        <v>0.83194444444444449</v>
      </c>
      <c r="N4" s="6">
        <v>0.85277777777777775</v>
      </c>
      <c r="O4" s="6">
        <v>0.88263888888888886</v>
      </c>
      <c r="P4" s="6">
        <v>0.92083333333333328</v>
      </c>
      <c r="U4" s="6">
        <v>0.92777777777777781</v>
      </c>
    </row>
    <row r="5" spans="1:21" x14ac:dyDescent="0.25">
      <c r="A5" s="4">
        <v>46118</v>
      </c>
      <c r="B5">
        <v>6</v>
      </c>
      <c r="C5" s="5" t="b">
        <v>0</v>
      </c>
      <c r="D5" s="5" t="b">
        <v>0</v>
      </c>
      <c r="E5">
        <v>12</v>
      </c>
      <c r="F5">
        <v>20</v>
      </c>
      <c r="G5">
        <v>11</v>
      </c>
      <c r="H5" s="6">
        <v>0.78333333333333333</v>
      </c>
      <c r="I5" s="6">
        <v>0.9194444444444444</v>
      </c>
      <c r="J5" s="6">
        <v>0.7944444444444444</v>
      </c>
      <c r="K5" s="6">
        <v>0.8041666666666667</v>
      </c>
      <c r="L5" s="6">
        <v>0.82291666666666663</v>
      </c>
      <c r="M5" s="6">
        <v>0.84166666666666667</v>
      </c>
      <c r="N5" s="6">
        <v>0.8666666666666667</v>
      </c>
      <c r="O5" s="6">
        <v>0.88958333333333328</v>
      </c>
      <c r="P5" s="6">
        <v>0.91388888888888886</v>
      </c>
      <c r="U5" s="6">
        <v>0.9194444444444444</v>
      </c>
    </row>
    <row r="6" spans="1:21" x14ac:dyDescent="0.25">
      <c r="A6" s="4">
        <v>46124</v>
      </c>
      <c r="B6">
        <v>6</v>
      </c>
      <c r="C6" s="5" t="b">
        <v>0</v>
      </c>
      <c r="D6" s="5" t="b">
        <v>1</v>
      </c>
      <c r="E6">
        <v>5</v>
      </c>
      <c r="F6">
        <v>9</v>
      </c>
      <c r="G6">
        <v>5</v>
      </c>
      <c r="H6" s="6">
        <v>0.64097222222222228</v>
      </c>
      <c r="I6" s="6">
        <v>0.74583333333333335</v>
      </c>
      <c r="J6" s="6">
        <v>0.65833333333333333</v>
      </c>
      <c r="K6" s="6">
        <v>0.68611111111111112</v>
      </c>
      <c r="L6" s="6">
        <v>0.71250000000000002</v>
      </c>
      <c r="M6" s="6">
        <v>0.74027777777777781</v>
      </c>
      <c r="U6" s="6">
        <v>0.74583333333333335</v>
      </c>
    </row>
    <row r="7" spans="1:21" x14ac:dyDescent="0.25">
      <c r="A7" s="4">
        <v>46131</v>
      </c>
      <c r="B7">
        <v>6</v>
      </c>
      <c r="C7" s="5" t="b">
        <v>0</v>
      </c>
      <c r="D7" s="5" t="b">
        <v>0</v>
      </c>
      <c r="E7">
        <v>12</v>
      </c>
      <c r="F7">
        <v>22</v>
      </c>
      <c r="G7">
        <v>6</v>
      </c>
      <c r="H7" s="6">
        <v>0.54652777777777772</v>
      </c>
      <c r="I7" s="6">
        <v>0.70277777777777772</v>
      </c>
      <c r="J7" s="6">
        <v>0.55694444444444446</v>
      </c>
      <c r="K7" s="6">
        <v>0.57222222222222219</v>
      </c>
      <c r="L7" s="6">
        <v>0.59652777777777777</v>
      </c>
      <c r="M7" s="6">
        <v>0.61805555555555558</v>
      </c>
      <c r="N7" s="6">
        <v>0.64583333333333337</v>
      </c>
      <c r="O7" s="6">
        <v>0.67500000000000004</v>
      </c>
      <c r="P7" s="6">
        <v>0.69930555555555551</v>
      </c>
      <c r="U7" s="6">
        <v>0.70277777777777772</v>
      </c>
    </row>
    <row r="8" spans="1:21" x14ac:dyDescent="0.25">
      <c r="A8" s="4">
        <v>46138</v>
      </c>
      <c r="B8">
        <v>6</v>
      </c>
      <c r="C8" s="5" t="b">
        <v>0</v>
      </c>
      <c r="D8" s="5" t="b">
        <v>0</v>
      </c>
      <c r="E8">
        <v>8</v>
      </c>
      <c r="F8">
        <v>8</v>
      </c>
      <c r="G8">
        <v>3</v>
      </c>
      <c r="H8" s="6">
        <v>0.63888888888888884</v>
      </c>
      <c r="I8" s="6">
        <v>0.69513888888888886</v>
      </c>
      <c r="J8" s="6">
        <v>0.64444444444444449</v>
      </c>
      <c r="K8" s="6">
        <v>0.65416666666666667</v>
      </c>
      <c r="L8" s="6">
        <v>0.67013888888888884</v>
      </c>
      <c r="M8" s="6">
        <v>0.69166666666666665</v>
      </c>
      <c r="U8" s="6">
        <v>0.69513888888888886</v>
      </c>
    </row>
    <row r="9" spans="1:21" x14ac:dyDescent="0.25">
      <c r="A9" s="4">
        <v>46145</v>
      </c>
      <c r="B9">
        <v>6</v>
      </c>
      <c r="C9" s="5" t="b">
        <v>0</v>
      </c>
      <c r="D9" s="5" t="b">
        <v>0</v>
      </c>
      <c r="E9">
        <v>12</v>
      </c>
      <c r="F9">
        <v>30</v>
      </c>
      <c r="G9">
        <v>18</v>
      </c>
      <c r="H9" s="6">
        <v>0.60624999999999996</v>
      </c>
      <c r="I9" s="6">
        <v>0.71666666666666667</v>
      </c>
      <c r="J9" s="6">
        <v>0.61250000000000004</v>
      </c>
      <c r="K9" s="6">
        <v>0.62222222222222223</v>
      </c>
      <c r="L9" s="6">
        <v>0.64027777777777772</v>
      </c>
      <c r="M9" s="6">
        <v>0.65833333333333333</v>
      </c>
      <c r="N9" s="6">
        <v>0.6791666666666667</v>
      </c>
      <c r="O9" s="6">
        <v>0.69722222222222219</v>
      </c>
      <c r="P9" s="6">
        <v>0.71250000000000002</v>
      </c>
      <c r="U9" s="6">
        <v>0.71666666666666667</v>
      </c>
    </row>
    <row r="10" spans="1:21" x14ac:dyDescent="0.25">
      <c r="A10" s="4">
        <v>46152</v>
      </c>
      <c r="B10">
        <v>4</v>
      </c>
      <c r="C10" s="5" t="b">
        <v>0</v>
      </c>
      <c r="D10" s="5" t="b">
        <v>0</v>
      </c>
      <c r="E10">
        <v>12</v>
      </c>
      <c r="F10">
        <v>21</v>
      </c>
      <c r="G10">
        <v>0</v>
      </c>
      <c r="H10" s="6">
        <v>0.54791666666666672</v>
      </c>
      <c r="I10" s="6">
        <v>0.625</v>
      </c>
      <c r="J10" s="6">
        <v>0.55347222222222225</v>
      </c>
      <c r="K10" s="6">
        <v>0.56180555555555556</v>
      </c>
      <c r="L10" s="6">
        <v>0.57361111111111107</v>
      </c>
      <c r="M10" s="6">
        <v>0.58611111111111114</v>
      </c>
      <c r="N10" s="6">
        <v>0.60486111111111107</v>
      </c>
      <c r="O10" s="6">
        <v>0.61875000000000002</v>
      </c>
      <c r="U10" s="6">
        <v>0.625</v>
      </c>
    </row>
    <row r="11" spans="1:21" x14ac:dyDescent="0.25">
      <c r="A11" s="4">
        <v>46158</v>
      </c>
      <c r="B11">
        <v>5</v>
      </c>
      <c r="C11" s="5" t="b">
        <v>0</v>
      </c>
      <c r="D11" s="5" t="b">
        <v>0</v>
      </c>
      <c r="E11">
        <v>12</v>
      </c>
      <c r="F11">
        <v>24</v>
      </c>
      <c r="G11">
        <v>12</v>
      </c>
      <c r="H11" s="6">
        <v>0.84236111111111112</v>
      </c>
      <c r="I11" s="6">
        <v>0.99236111111111114</v>
      </c>
      <c r="J11" s="6">
        <v>0.85902777777777772</v>
      </c>
      <c r="K11" s="6">
        <v>0.87222222222222223</v>
      </c>
      <c r="L11" s="6">
        <v>0.88958333333333328</v>
      </c>
      <c r="M11" s="6">
        <v>0.90625</v>
      </c>
      <c r="N11" s="6">
        <v>0.92708333333333337</v>
      </c>
      <c r="O11" s="6">
        <v>0.95833333333333337</v>
      </c>
      <c r="P11" s="6">
        <v>0.98888888888888893</v>
      </c>
      <c r="U11" s="6">
        <v>0.99236111111111114</v>
      </c>
    </row>
    <row r="12" spans="1:21" x14ac:dyDescent="0.25">
      <c r="A12" s="4">
        <v>46215</v>
      </c>
      <c r="B12">
        <v>4</v>
      </c>
      <c r="C12" s="5" t="b">
        <v>0</v>
      </c>
      <c r="D12" s="5" t="b">
        <v>0</v>
      </c>
      <c r="E12">
        <v>16</v>
      </c>
      <c r="F12">
        <v>22</v>
      </c>
      <c r="G12">
        <v>16</v>
      </c>
      <c r="H12" s="6">
        <v>0.56944444444444442</v>
      </c>
      <c r="I12" s="6">
        <v>0.73888888888888893</v>
      </c>
      <c r="J12" s="6">
        <v>0.57638888888888884</v>
      </c>
      <c r="K12" s="6">
        <v>0.58333333333333337</v>
      </c>
      <c r="L12" s="6">
        <v>0.59583333333333333</v>
      </c>
      <c r="M12" s="6">
        <v>0.625</v>
      </c>
      <c r="N12" s="6">
        <v>0.6381944444444444</v>
      </c>
      <c r="O12" s="6">
        <v>0.66041666666666665</v>
      </c>
      <c r="P12" s="6">
        <v>0.68402777777777779</v>
      </c>
      <c r="Q12" s="6">
        <v>0.70694444444444449</v>
      </c>
      <c r="R12" s="6">
        <v>0.73402777777777772</v>
      </c>
      <c r="U12" s="6">
        <v>0.73888888888888893</v>
      </c>
    </row>
    <row r="13" spans="1:21" x14ac:dyDescent="0.25">
      <c r="A13" s="4">
        <v>46247</v>
      </c>
      <c r="B13">
        <v>6</v>
      </c>
      <c r="C13" s="5" t="b">
        <v>0</v>
      </c>
      <c r="D13" s="5" t="b">
        <v>0</v>
      </c>
      <c r="E13">
        <v>12</v>
      </c>
      <c r="F13">
        <v>21</v>
      </c>
      <c r="G13">
        <v>7</v>
      </c>
      <c r="H13" s="6">
        <v>0.79097222222222219</v>
      </c>
      <c r="I13" s="6">
        <v>0.9458333333333333</v>
      </c>
      <c r="J13" s="6">
        <v>0.8</v>
      </c>
      <c r="K13" s="6">
        <v>0.81041666666666667</v>
      </c>
      <c r="L13" s="6">
        <v>0.82777777777777772</v>
      </c>
      <c r="M13" s="6">
        <v>0.84722222222222221</v>
      </c>
      <c r="N13" s="6">
        <v>0.87569444444444444</v>
      </c>
      <c r="O13" s="6">
        <v>0.90277777777777779</v>
      </c>
      <c r="P13" s="6">
        <v>0.93541666666666667</v>
      </c>
      <c r="U13" s="6">
        <v>0.9458333333333333</v>
      </c>
    </row>
    <row r="14" spans="1:21" x14ac:dyDescent="0.25">
      <c r="A14" s="4">
        <v>46277</v>
      </c>
      <c r="B14">
        <v>4</v>
      </c>
      <c r="C14" s="5" t="b">
        <v>0</v>
      </c>
      <c r="D14" s="5" t="b">
        <v>0</v>
      </c>
      <c r="E14">
        <v>16</v>
      </c>
      <c r="F14">
        <v>21</v>
      </c>
      <c r="G14">
        <v>13</v>
      </c>
      <c r="H14" s="6">
        <v>0.79166666666666663</v>
      </c>
      <c r="I14" s="6">
        <v>0.92500000000000004</v>
      </c>
      <c r="J14" s="6">
        <v>0.80902777777777779</v>
      </c>
      <c r="K14" s="6">
        <v>0.81736111111111109</v>
      </c>
      <c r="L14" s="6">
        <v>0.8354166666666667</v>
      </c>
      <c r="M14" s="6">
        <v>0.85416666666666663</v>
      </c>
      <c r="N14" s="6">
        <v>0.86736111111111114</v>
      </c>
      <c r="O14" s="6">
        <v>0.88749999999999996</v>
      </c>
      <c r="P14" s="6">
        <v>0.90138888888888891</v>
      </c>
      <c r="Q14" s="6">
        <v>0.92013888888888884</v>
      </c>
      <c r="U14" s="6">
        <v>0.92500000000000004</v>
      </c>
    </row>
    <row r="15" spans="1:21" x14ac:dyDescent="0.25">
      <c r="C15" s="5" t="b">
        <v>0</v>
      </c>
      <c r="D15" s="5" t="b">
        <v>0</v>
      </c>
    </row>
    <row r="16" spans="1:21" x14ac:dyDescent="0.25">
      <c r="C16" s="5" t="b">
        <v>0</v>
      </c>
      <c r="D16" s="5" t="b">
        <v>0</v>
      </c>
    </row>
    <row r="17" spans="3:4" x14ac:dyDescent="0.25">
      <c r="C17" s="5" t="b">
        <v>0</v>
      </c>
      <c r="D17" s="5" t="b">
        <v>0</v>
      </c>
    </row>
    <row r="18" spans="3:4" x14ac:dyDescent="0.25">
      <c r="C18" s="5" t="b">
        <v>0</v>
      </c>
      <c r="D18" s="5" t="b">
        <v>0</v>
      </c>
    </row>
    <row r="19" spans="3:4" x14ac:dyDescent="0.25">
      <c r="C19" s="5" t="b">
        <v>0</v>
      </c>
      <c r="D19" s="5" t="b">
        <v>0</v>
      </c>
    </row>
    <row r="20" spans="3:4" x14ac:dyDescent="0.25">
      <c r="C20" s="5" t="b">
        <v>0</v>
      </c>
      <c r="D20" s="5" t="b">
        <v>0</v>
      </c>
    </row>
    <row r="21" spans="3:4" x14ac:dyDescent="0.25">
      <c r="C21" s="5" t="b">
        <v>0</v>
      </c>
      <c r="D21" s="5" t="b">
        <v>0</v>
      </c>
    </row>
    <row r="22" spans="3:4" x14ac:dyDescent="0.25">
      <c r="C22" s="5" t="b">
        <v>0</v>
      </c>
      <c r="D22" s="5" t="b">
        <v>0</v>
      </c>
    </row>
    <row r="23" spans="3:4" x14ac:dyDescent="0.25">
      <c r="C23" s="5" t="b">
        <v>0</v>
      </c>
      <c r="D23" s="5" t="b">
        <v>0</v>
      </c>
    </row>
    <row r="24" spans="3:4" x14ac:dyDescent="0.25">
      <c r="C24" s="5" t="b">
        <v>0</v>
      </c>
      <c r="D24" s="5" t="b">
        <v>0</v>
      </c>
    </row>
    <row r="25" spans="3:4" x14ac:dyDescent="0.25">
      <c r="C25" s="5" t="b">
        <v>0</v>
      </c>
      <c r="D25" s="5" t="b">
        <v>0</v>
      </c>
    </row>
    <row r="26" spans="3:4" x14ac:dyDescent="0.25">
      <c r="C26" s="5" t="b">
        <v>0</v>
      </c>
      <c r="D26" s="5" t="b">
        <v>0</v>
      </c>
    </row>
    <row r="27" spans="3:4" x14ac:dyDescent="0.25">
      <c r="C27" s="5" t="b">
        <v>0</v>
      </c>
      <c r="D27" s="5" t="b">
        <v>0</v>
      </c>
    </row>
    <row r="28" spans="3:4" x14ac:dyDescent="0.25">
      <c r="C28" s="5" t="b">
        <v>0</v>
      </c>
      <c r="D28" s="5" t="b">
        <v>0</v>
      </c>
    </row>
    <row r="29" spans="3:4" x14ac:dyDescent="0.25">
      <c r="C29" s="5" t="b">
        <v>0</v>
      </c>
      <c r="D29" s="5" t="b">
        <v>0</v>
      </c>
    </row>
    <row r="30" spans="3:4" x14ac:dyDescent="0.25">
      <c r="C30" s="5" t="b">
        <v>0</v>
      </c>
      <c r="D30" s="5" t="b">
        <v>0</v>
      </c>
    </row>
    <row r="31" spans="3:4" x14ac:dyDescent="0.25">
      <c r="C31" s="5" t="b">
        <v>0</v>
      </c>
      <c r="D31" s="5" t="b">
        <v>0</v>
      </c>
    </row>
    <row r="32" spans="3:4" x14ac:dyDescent="0.25">
      <c r="C32" s="5" t="b">
        <v>0</v>
      </c>
      <c r="D32" s="5" t="b">
        <v>0</v>
      </c>
    </row>
    <row r="33" spans="3:4" x14ac:dyDescent="0.25">
      <c r="C33" s="5" t="b">
        <v>0</v>
      </c>
      <c r="D33" s="5" t="b">
        <v>0</v>
      </c>
    </row>
    <row r="34" spans="3:4" x14ac:dyDescent="0.25">
      <c r="C34" s="5" t="b">
        <v>0</v>
      </c>
      <c r="D34" s="5" t="b">
        <v>0</v>
      </c>
    </row>
    <row r="35" spans="3:4" x14ac:dyDescent="0.25">
      <c r="C35" s="5" t="b">
        <v>0</v>
      </c>
      <c r="D35" s="5" t="b">
        <v>0</v>
      </c>
    </row>
    <row r="36" spans="3:4" x14ac:dyDescent="0.25">
      <c r="C36" s="5" t="b">
        <v>0</v>
      </c>
      <c r="D36" s="5" t="b">
        <v>0</v>
      </c>
    </row>
    <row r="37" spans="3:4" x14ac:dyDescent="0.25">
      <c r="C37" s="5" t="b">
        <v>0</v>
      </c>
      <c r="D37" s="5" t="b">
        <v>0</v>
      </c>
    </row>
    <row r="38" spans="3:4" x14ac:dyDescent="0.25">
      <c r="C38" s="5" t="b">
        <v>0</v>
      </c>
      <c r="D38" s="5" t="b">
        <v>0</v>
      </c>
    </row>
    <row r="39" spans="3:4" x14ac:dyDescent="0.25">
      <c r="C39" s="5" t="b">
        <v>0</v>
      </c>
      <c r="D39" s="5" t="b">
        <v>0</v>
      </c>
    </row>
    <row r="40" spans="3:4" x14ac:dyDescent="0.25">
      <c r="C40" s="5" t="b">
        <v>0</v>
      </c>
      <c r="D40" s="5" t="b">
        <v>0</v>
      </c>
    </row>
    <row r="41" spans="3:4" x14ac:dyDescent="0.25">
      <c r="C41" s="5" t="b">
        <v>0</v>
      </c>
      <c r="D41" s="5" t="b">
        <v>0</v>
      </c>
    </row>
    <row r="42" spans="3:4" x14ac:dyDescent="0.25">
      <c r="C42" s="5" t="b">
        <v>0</v>
      </c>
      <c r="D42" s="5" t="b">
        <v>0</v>
      </c>
    </row>
    <row r="43" spans="3:4" x14ac:dyDescent="0.25">
      <c r="C43" s="5" t="b">
        <v>0</v>
      </c>
      <c r="D43" s="5" t="b">
        <v>0</v>
      </c>
    </row>
    <row r="44" spans="3:4" x14ac:dyDescent="0.25">
      <c r="C44" s="5" t="b">
        <v>0</v>
      </c>
      <c r="D44" s="5" t="b">
        <v>0</v>
      </c>
    </row>
    <row r="45" spans="3:4" x14ac:dyDescent="0.25">
      <c r="C45" s="5" t="b">
        <v>0</v>
      </c>
      <c r="D45" s="5" t="b">
        <v>0</v>
      </c>
    </row>
    <row r="46" spans="3:4" x14ac:dyDescent="0.25">
      <c r="C46" s="5" t="b">
        <v>0</v>
      </c>
      <c r="D46" s="5" t="b">
        <v>0</v>
      </c>
    </row>
    <row r="47" spans="3:4" x14ac:dyDescent="0.25">
      <c r="C47" s="5" t="b">
        <v>0</v>
      </c>
      <c r="D47" s="5" t="b">
        <v>0</v>
      </c>
    </row>
    <row r="48" spans="3:4" x14ac:dyDescent="0.25">
      <c r="C48" s="5" t="b">
        <v>0</v>
      </c>
      <c r="D48" s="5" t="b">
        <v>0</v>
      </c>
    </row>
    <row r="49" spans="3:4" x14ac:dyDescent="0.25">
      <c r="C49" s="5" t="b">
        <v>0</v>
      </c>
      <c r="D49" s="5" t="b">
        <v>0</v>
      </c>
    </row>
    <row r="50" spans="3:4" x14ac:dyDescent="0.25">
      <c r="C50" s="5" t="b">
        <v>0</v>
      </c>
      <c r="D50" s="5" t="b">
        <v>0</v>
      </c>
    </row>
    <row r="51" spans="3:4" x14ac:dyDescent="0.25">
      <c r="C51" s="5" t="b">
        <v>0</v>
      </c>
      <c r="D51" s="5" t="b">
        <v>0</v>
      </c>
    </row>
    <row r="52" spans="3:4" x14ac:dyDescent="0.25">
      <c r="C52" s="5" t="b">
        <v>0</v>
      </c>
      <c r="D52" s="5" t="b">
        <v>0</v>
      </c>
    </row>
    <row r="53" spans="3:4" x14ac:dyDescent="0.25">
      <c r="C53" s="5" t="b">
        <v>0</v>
      </c>
      <c r="D53" s="5" t="b">
        <v>0</v>
      </c>
    </row>
    <row r="54" spans="3:4" x14ac:dyDescent="0.25">
      <c r="C54" s="5" t="b">
        <v>0</v>
      </c>
      <c r="D54" s="5" t="b">
        <v>0</v>
      </c>
    </row>
    <row r="55" spans="3:4" x14ac:dyDescent="0.25">
      <c r="C55" s="5" t="b">
        <v>0</v>
      </c>
      <c r="D55" s="5" t="b">
        <v>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Cards</vt:lpstr>
      <vt:lpstr>Components</vt:lpstr>
      <vt:lpstr>Playtesting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Ben Donet</cp:lastModifiedBy>
  <cp:revision/>
  <cp:lastPrinted>2026-04-22T00:24:43Z</cp:lastPrinted>
  <dcterms:created xsi:type="dcterms:W3CDTF">2025-12-05T19:41:08Z</dcterms:created>
  <dcterms:modified xsi:type="dcterms:W3CDTF">2026-09-18T17:50:10Z</dcterms:modified>
  <cp:category/>
  <cp:contentStatus/>
</cp:coreProperties>
</file>