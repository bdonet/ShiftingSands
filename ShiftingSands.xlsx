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349" documentId="11_0B1D56BE9CDCCE836B02CE7A5FB0D4A9BBFD1C62" xr6:coauthVersionLast="47" xr6:coauthVersionMax="47" xr10:uidLastSave="{09ACA5EE-1C52-ED4B-B3FE-21E376819C86}"/>
  <bookViews>
    <workbookView xWindow="-120" yWindow="-120" windowWidth="38640" windowHeight="21120" activeTab="6"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<sst xmlns="http://schemas.openxmlformats.org/spreadsheetml/2006/main" count="629" uniqueCount="469">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</sst>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microsoft.com/office/2022/11/relationships/FeaturePropertyBag" Target="featurePropertyBag/featurePropertyBag.xml" /><Relationship Id="rId5" Type="http://schemas.openxmlformats.org/officeDocument/2006/relationships/worksheet" Target="worksheets/sheet5.xml" /><Relationship Id="rId10"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styles" Target="styles.xml" /></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18" activePane="bottomRight" state="frozen"/>
      <selection pane="bottomLeft"/>
      <selection pane="topRight"/>
      <selection pane="bottomRight" activeCell="B25" sqref="B25"/>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4.8867187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386</v>
      </c>
      <c r="H2" s="4"/>
      <c r="I2" s="2"/>
      <c r="J2" s="4"/>
    </row>
    <row r="3" spans="1:10" ht="41.25" x14ac:dyDescent="0.2">
      <c r="A3" s="11" t="s">
        <v>13</v>
      </c>
      <c r="B3" s="6" t="s">
        <v>352</v>
      </c>
      <c r="C3" s="24" t="s">
        <v>353</v>
      </c>
      <c r="D3" s="6" t="s">
        <v>14</v>
      </c>
      <c r="E3" s="15" t="s">
        <v>15</v>
      </c>
      <c r="F3" s="6" t="s">
        <v>430</v>
      </c>
      <c r="G3" s="7" t="s">
        <v>396</v>
      </c>
      <c r="H3" s="4"/>
      <c r="I3" s="2"/>
      <c r="J3" s="4"/>
    </row>
    <row r="4" spans="1:10" ht="27.75" x14ac:dyDescent="0.2">
      <c r="A4" s="11" t="s">
        <v>16</v>
      </c>
      <c r="B4" s="6" t="s">
        <v>17</v>
      </c>
      <c r="C4" s="15" t="s">
        <v>410</v>
      </c>
      <c r="D4" s="6" t="s">
        <v>18</v>
      </c>
      <c r="E4" s="15" t="s">
        <v>317</v>
      </c>
      <c r="F4" s="6" t="s">
        <v>19</v>
      </c>
      <c r="G4" s="7" t="s">
        <v>385</v>
      </c>
      <c r="H4" s="4"/>
      <c r="I4" s="3"/>
      <c r="J4" s="4"/>
    </row>
    <row r="5" spans="1:10" x14ac:dyDescent="0.2">
      <c r="A5" s="11" t="s">
        <v>20</v>
      </c>
      <c r="B5" s="8" t="s">
        <v>21</v>
      </c>
      <c r="C5" s="15" t="s">
        <v>22</v>
      </c>
      <c r="D5" s="6" t="s">
        <v>23</v>
      </c>
      <c r="E5" s="15" t="s">
        <v>317</v>
      </c>
      <c r="F5" s="6" t="s">
        <v>24</v>
      </c>
      <c r="G5" s="7" t="s">
        <v>431</v>
      </c>
      <c r="H5" s="4"/>
      <c r="I5" s="2"/>
      <c r="J5" s="4"/>
    </row>
    <row r="6" spans="1:10" ht="41.25" x14ac:dyDescent="0.2">
      <c r="A6" s="11" t="s">
        <v>25</v>
      </c>
      <c r="B6" s="6" t="s">
        <v>26</v>
      </c>
      <c r="C6" s="15" t="s">
        <v>27</v>
      </c>
      <c r="D6" s="6" t="s">
        <v>28</v>
      </c>
      <c r="E6" s="15" t="s">
        <v>29</v>
      </c>
      <c r="F6" s="6" t="s">
        <v>427</v>
      </c>
      <c r="G6" s="7" t="s">
        <v>388</v>
      </c>
      <c r="H6" s="4"/>
      <c r="I6" s="3"/>
      <c r="J6" s="4"/>
    </row>
    <row r="7" spans="1:10" ht="41.25" x14ac:dyDescent="0.2">
      <c r="A7" s="11" t="s">
        <v>31</v>
      </c>
      <c r="B7" s="6" t="s">
        <v>32</v>
      </c>
      <c r="C7" s="15" t="s">
        <v>33</v>
      </c>
      <c r="D7" s="6" t="s">
        <v>34</v>
      </c>
      <c r="E7" s="18" t="s">
        <v>35</v>
      </c>
      <c r="F7" s="6" t="s">
        <v>419</v>
      </c>
      <c r="G7" s="7" t="s">
        <v>420</v>
      </c>
      <c r="H7" s="4"/>
      <c r="I7" s="3"/>
      <c r="J7" s="4"/>
    </row>
    <row r="8" spans="1:10" ht="27.75" x14ac:dyDescent="0.2">
      <c r="A8" s="11" t="s">
        <v>37</v>
      </c>
      <c r="B8" s="6" t="s">
        <v>41</v>
      </c>
      <c r="C8" s="15" t="s">
        <v>418</v>
      </c>
      <c r="D8" s="6" t="s">
        <v>318</v>
      </c>
      <c r="E8" s="15" t="s">
        <v>317</v>
      </c>
      <c r="F8" s="6" t="s">
        <v>421</v>
      </c>
      <c r="G8" s="9" t="s">
        <v>422</v>
      </c>
      <c r="H8" s="4"/>
      <c r="I8" s="2"/>
      <c r="J8" s="4"/>
    </row>
    <row r="9" spans="1:10" ht="27.75" x14ac:dyDescent="0.2">
      <c r="A9" s="11" t="s">
        <v>38</v>
      </c>
      <c r="B9" s="6" t="s">
        <v>439</v>
      </c>
      <c r="C9" s="15" t="s">
        <v>44</v>
      </c>
      <c r="D9" s="6" t="s">
        <v>39</v>
      </c>
      <c r="E9" s="15" t="s">
        <v>317</v>
      </c>
      <c r="F9" s="6" t="s">
        <v>423</v>
      </c>
      <c r="G9" s="7" t="s">
        <v>424</v>
      </c>
      <c r="H9" s="4"/>
      <c r="I9" s="3"/>
      <c r="J9" s="4"/>
    </row>
    <row r="10" spans="1:10" ht="41.25" x14ac:dyDescent="0.2">
      <c r="A10" s="11" t="s">
        <v>40</v>
      </c>
      <c r="B10" s="6" t="s">
        <v>48</v>
      </c>
      <c r="C10" s="15" t="s">
        <v>49</v>
      </c>
      <c r="D10" s="6" t="s">
        <v>434</v>
      </c>
      <c r="E10" s="15" t="s">
        <v>437</v>
      </c>
      <c r="F10" s="6" t="s">
        <v>425</v>
      </c>
      <c r="G10" s="7" t="s">
        <v>426</v>
      </c>
      <c r="H10" s="4"/>
      <c r="I10" s="2"/>
      <c r="J10" s="4"/>
    </row>
    <row r="11" spans="1:10" ht="41.25" x14ac:dyDescent="0.2">
      <c r="A11" s="11" t="s">
        <v>43</v>
      </c>
      <c r="B11" s="6" t="s">
        <v>362</v>
      </c>
      <c r="C11" s="15" t="s">
        <v>436</v>
      </c>
      <c r="D11" s="6" t="s">
        <v>45</v>
      </c>
      <c r="E11" s="15" t="s">
        <v>438</v>
      </c>
      <c r="F11" s="6" t="s">
        <v>429</v>
      </c>
      <c r="G11" s="7" t="s">
        <v>428</v>
      </c>
      <c r="H11" s="4"/>
      <c r="I11" s="2"/>
      <c r="J11" s="4"/>
    </row>
    <row r="12" spans="1:10" ht="41.25" x14ac:dyDescent="0.2">
      <c r="A12" s="11" t="s">
        <v>47</v>
      </c>
      <c r="B12" s="6" t="s">
        <v>57</v>
      </c>
      <c r="C12" s="15" t="s">
        <v>349</v>
      </c>
      <c r="D12" s="6" t="s">
        <v>50</v>
      </c>
      <c r="E12" s="15" t="s">
        <v>51</v>
      </c>
      <c r="F12" s="6" t="s">
        <v>46</v>
      </c>
      <c r="G12" s="7" t="s">
        <v>390</v>
      </c>
      <c r="H12" s="4"/>
      <c r="I12" s="2"/>
      <c r="J12" s="4"/>
    </row>
    <row r="13" spans="1:10" ht="41.25" x14ac:dyDescent="0.2">
      <c r="A13" s="11" t="s">
        <v>53</v>
      </c>
      <c r="B13" s="6" t="s">
        <v>61</v>
      </c>
      <c r="C13" s="15" t="s">
        <v>62</v>
      </c>
      <c r="D13" s="6" t="s">
        <v>54</v>
      </c>
      <c r="E13" s="15" t="s">
        <v>55</v>
      </c>
      <c r="F13" s="6" t="s">
        <v>52</v>
      </c>
      <c r="G13" s="7" t="s">
        <v>389</v>
      </c>
      <c r="H13" s="4"/>
      <c r="I13" s="2"/>
      <c r="J13" s="4"/>
    </row>
    <row r="14" spans="1:10" ht="41.25" x14ac:dyDescent="0.2">
      <c r="A14" s="11" t="s">
        <v>56</v>
      </c>
      <c r="B14" s="6" t="s">
        <v>67</v>
      </c>
      <c r="C14" s="15" t="s">
        <v>68</v>
      </c>
      <c r="D14" s="6" t="s">
        <v>58</v>
      </c>
      <c r="E14" s="15" t="s">
        <v>59</v>
      </c>
      <c r="F14" s="6" t="s">
        <v>42</v>
      </c>
      <c r="G14" s="7" t="s">
        <v>389</v>
      </c>
      <c r="H14" s="4"/>
      <c r="I14" s="3"/>
      <c r="J14" s="4"/>
    </row>
    <row r="15" spans="1:10" ht="41.25" x14ac:dyDescent="0.2">
      <c r="A15" s="11" t="s">
        <v>60</v>
      </c>
      <c r="B15" s="6" t="s">
        <v>467</v>
      </c>
      <c r="C15" s="15" t="s">
        <v>468</v>
      </c>
      <c r="D15" s="6" t="s">
        <v>63</v>
      </c>
      <c r="E15" s="15" t="s">
        <v>64</v>
      </c>
      <c r="F15" s="6" t="s">
        <v>65</v>
      </c>
      <c r="G15" s="7" t="s">
        <v>392</v>
      </c>
      <c r="H15" s="4"/>
      <c r="I15" s="3"/>
      <c r="J15" s="4"/>
    </row>
    <row r="16" spans="1:10" ht="41.25" x14ac:dyDescent="0.2">
      <c r="A16" s="11" t="s">
        <v>66</v>
      </c>
      <c r="B16" s="6" t="s">
        <v>71</v>
      </c>
      <c r="C16" s="15" t="s">
        <v>466</v>
      </c>
      <c r="D16" s="6" t="s">
        <v>69</v>
      </c>
      <c r="E16" s="15" t="s">
        <v>440</v>
      </c>
      <c r="F16" s="6" t="s">
        <v>417</v>
      </c>
      <c r="G16" s="7" t="s">
        <v>391</v>
      </c>
      <c r="H16" s="4"/>
      <c r="I16" s="2"/>
      <c r="J16" s="4"/>
    </row>
    <row r="17" spans="1:10" ht="41.25" x14ac:dyDescent="0.2">
      <c r="A17" s="11" t="s">
        <v>70</v>
      </c>
      <c r="B17" s="6" t="s">
        <v>78</v>
      </c>
      <c r="C17" s="15" t="s">
        <v>79</v>
      </c>
      <c r="D17" s="6" t="s">
        <v>72</v>
      </c>
      <c r="E17" s="15" t="s">
        <v>73</v>
      </c>
      <c r="F17" s="6" t="s">
        <v>395</v>
      </c>
      <c r="G17" s="7" t="s">
        <v>391</v>
      </c>
      <c r="H17" s="4"/>
      <c r="I17" s="2"/>
      <c r="J17" s="4"/>
    </row>
    <row r="18" spans="1:10" ht="27.75" x14ac:dyDescent="0.2">
      <c r="A18" s="11" t="s">
        <v>74</v>
      </c>
      <c r="B18" s="6" t="s">
        <v>82</v>
      </c>
      <c r="C18" s="15" t="s">
        <v>83</v>
      </c>
      <c r="D18" s="6" t="s">
        <v>76</v>
      </c>
      <c r="E18" s="15" t="s">
        <v>326</v>
      </c>
      <c r="F18" s="6" t="s">
        <v>36</v>
      </c>
      <c r="G18" s="7" t="s">
        <v>387</v>
      </c>
      <c r="H18" s="4"/>
      <c r="I18" s="2"/>
      <c r="J18" s="4"/>
    </row>
    <row r="19" spans="1:10" ht="27.75" x14ac:dyDescent="0.2">
      <c r="A19" s="11" t="s">
        <v>77</v>
      </c>
      <c r="B19" s="6" t="s">
        <v>86</v>
      </c>
      <c r="C19" s="15" t="s">
        <v>87</v>
      </c>
      <c r="D19" s="6" t="s">
        <v>80</v>
      </c>
      <c r="E19" s="15" t="s">
        <v>327</v>
      </c>
      <c r="F19" s="23" t="s">
        <v>375</v>
      </c>
      <c r="G19" s="25" t="s">
        <v>393</v>
      </c>
      <c r="H19" s="4"/>
      <c r="I19" s="2"/>
      <c r="J19" s="4"/>
    </row>
    <row r="20" spans="1:10" ht="41.25" x14ac:dyDescent="0.2">
      <c r="A20" s="11" t="s">
        <v>81</v>
      </c>
      <c r="B20" s="6" t="s">
        <v>90</v>
      </c>
      <c r="C20" s="15" t="s">
        <v>91</v>
      </c>
      <c r="D20" s="6" t="s">
        <v>84</v>
      </c>
      <c r="E20" s="15" t="s">
        <v>454</v>
      </c>
      <c r="F20" s="6" t="s">
        <v>376</v>
      </c>
      <c r="G20" s="7" t="s">
        <v>394</v>
      </c>
      <c r="H20" s="4"/>
      <c r="I20" s="3"/>
      <c r="J20" s="4"/>
    </row>
    <row r="21" spans="1:10" ht="41.25" x14ac:dyDescent="0.2">
      <c r="A21" s="11" t="s">
        <v>85</v>
      </c>
      <c r="B21" s="6" t="s">
        <v>94</v>
      </c>
      <c r="C21" s="15" t="s">
        <v>95</v>
      </c>
      <c r="D21" s="6" t="s">
        <v>88</v>
      </c>
      <c r="E21" s="15" t="s">
        <v>455</v>
      </c>
      <c r="F21" s="6" t="s">
        <v>398</v>
      </c>
      <c r="G21" s="25" t="s">
        <v>393</v>
      </c>
      <c r="H21" s="4"/>
      <c r="I21" s="3"/>
      <c r="J21" s="4"/>
    </row>
    <row r="22" spans="1:10" ht="41.25" x14ac:dyDescent="0.2">
      <c r="A22" s="11" t="s">
        <v>89</v>
      </c>
      <c r="B22" s="6" t="s">
        <v>99</v>
      </c>
      <c r="C22" s="15" t="s">
        <v>100</v>
      </c>
      <c r="D22" s="6" t="s">
        <v>92</v>
      </c>
      <c r="E22" s="15" t="s">
        <v>346</v>
      </c>
      <c r="F22" s="6" t="s">
        <v>30</v>
      </c>
      <c r="G22" s="7" t="s">
        <v>397</v>
      </c>
      <c r="H22" s="4"/>
      <c r="I22" s="3"/>
      <c r="J22" s="4"/>
    </row>
    <row r="23" spans="1:10" ht="27.75" x14ac:dyDescent="0.2">
      <c r="A23" s="11" t="s">
        <v>93</v>
      </c>
      <c r="B23" s="6" t="s">
        <v>441</v>
      </c>
      <c r="C23" s="15" t="s">
        <v>370</v>
      </c>
      <c r="D23" s="6" t="s">
        <v>96</v>
      </c>
      <c r="E23" s="15" t="s">
        <v>97</v>
      </c>
      <c r="F23" s="6"/>
      <c r="G23" s="7"/>
      <c r="H23" s="4"/>
      <c r="I23" s="3"/>
      <c r="J23" s="4"/>
    </row>
    <row r="24" spans="1:10" ht="27.75" x14ac:dyDescent="0.2">
      <c r="A24" s="11" t="s">
        <v>98</v>
      </c>
      <c r="B24" s="6" t="s">
        <v>465</v>
      </c>
      <c r="C24" s="15" t="s">
        <v>435</v>
      </c>
      <c r="D24" s="6" t="s">
        <v>101</v>
      </c>
      <c r="E24" s="15" t="s">
        <v>456</v>
      </c>
      <c r="F24" s="6"/>
      <c r="G24" s="9"/>
      <c r="H24" s="4"/>
      <c r="I24" s="3"/>
      <c r="J24" s="4"/>
    </row>
    <row r="25" spans="1:10" ht="27.75" x14ac:dyDescent="0.2">
      <c r="A25" s="11" t="s">
        <v>102</v>
      </c>
      <c r="B25" s="6" t="s">
        <v>107</v>
      </c>
      <c r="C25" s="15" t="s">
        <v>457</v>
      </c>
      <c r="D25" s="6" t="s">
        <v>103</v>
      </c>
      <c r="E25" s="15" t="s">
        <v>458</v>
      </c>
      <c r="F25" s="6"/>
      <c r="G25" s="7"/>
      <c r="H25" s="4"/>
      <c r="I25" s="3"/>
      <c r="J25" s="4"/>
    </row>
    <row r="26" spans="1:10" ht="41.25" x14ac:dyDescent="0.2">
      <c r="A26" s="11" t="s">
        <v>104</v>
      </c>
      <c r="B26" s="6" t="s">
        <v>110</v>
      </c>
      <c r="C26" s="15" t="s">
        <v>400</v>
      </c>
      <c r="D26" s="6" t="s">
        <v>105</v>
      </c>
      <c r="E26" s="15" t="s">
        <v>379</v>
      </c>
      <c r="F26" s="6"/>
      <c r="G26" s="7"/>
      <c r="H26" s="4"/>
      <c r="I26" s="3"/>
      <c r="J26" s="4"/>
    </row>
    <row r="27" spans="1:10" ht="41.25" x14ac:dyDescent="0.2">
      <c r="A27" s="11" t="s">
        <v>106</v>
      </c>
      <c r="B27" s="6" t="s">
        <v>113</v>
      </c>
      <c r="C27" s="16" t="s">
        <v>114</v>
      </c>
      <c r="D27" s="6" t="s">
        <v>108</v>
      </c>
      <c r="E27" s="15" t="s">
        <v>380</v>
      </c>
      <c r="F27" s="6"/>
      <c r="G27" s="7"/>
      <c r="H27" s="4"/>
      <c r="I27" s="3"/>
      <c r="J27" s="4"/>
    </row>
    <row r="28" spans="1:10" ht="27.75" x14ac:dyDescent="0.2">
      <c r="A28" s="11" t="s">
        <v>109</v>
      </c>
      <c r="B28" s="6" t="s">
        <v>117</v>
      </c>
      <c r="C28" s="15" t="s">
        <v>118</v>
      </c>
      <c r="D28" s="6" t="s">
        <v>111</v>
      </c>
      <c r="E28" s="15" t="s">
        <v>377</v>
      </c>
      <c r="F28" s="6"/>
      <c r="G28" s="7"/>
      <c r="H28" s="4"/>
      <c r="I28" s="3"/>
      <c r="J28" s="4"/>
    </row>
    <row r="29" spans="1:10" ht="41.25" x14ac:dyDescent="0.2">
      <c r="A29" s="11" t="s">
        <v>112</v>
      </c>
      <c r="B29" s="6" t="s">
        <v>121</v>
      </c>
      <c r="C29" s="15" t="s">
        <v>122</v>
      </c>
      <c r="D29" s="6" t="s">
        <v>115</v>
      </c>
      <c r="E29" s="15" t="s">
        <v>378</v>
      </c>
      <c r="F29" s="6"/>
      <c r="G29" s="7"/>
      <c r="H29" s="4"/>
      <c r="I29" s="3"/>
      <c r="J29" s="4"/>
    </row>
    <row r="30" spans="1:10" ht="41.25" x14ac:dyDescent="0.2">
      <c r="A30" s="11" t="s">
        <v>116</v>
      </c>
      <c r="B30" s="6" t="s">
        <v>125</v>
      </c>
      <c r="C30" s="15" t="s">
        <v>126</v>
      </c>
      <c r="D30" s="6" t="s">
        <v>119</v>
      </c>
      <c r="E30" s="15" t="s">
        <v>463</v>
      </c>
      <c r="F30" s="6"/>
      <c r="G30" s="7"/>
      <c r="H30" s="4"/>
      <c r="I30" s="3"/>
      <c r="J30" s="4"/>
    </row>
    <row r="31" spans="1:10" ht="41.25" x14ac:dyDescent="0.2">
      <c r="A31" s="11" t="s">
        <v>120</v>
      </c>
      <c r="B31" s="6" t="s">
        <v>128</v>
      </c>
      <c r="C31" s="15" t="s">
        <v>129</v>
      </c>
      <c r="D31" s="6" t="s">
        <v>123</v>
      </c>
      <c r="E31" s="15" t="s">
        <v>464</v>
      </c>
      <c r="F31" s="6"/>
      <c r="G31" s="7"/>
      <c r="H31" s="4"/>
      <c r="I31" s="3"/>
      <c r="J31" s="4"/>
    </row>
    <row r="32" spans="1:10" ht="27.75" x14ac:dyDescent="0.2">
      <c r="A32" s="11" t="s">
        <v>124</v>
      </c>
      <c r="B32" s="6" t="s">
        <v>131</v>
      </c>
      <c r="C32" s="15" t="s">
        <v>360</v>
      </c>
      <c r="D32" s="8" t="s">
        <v>373</v>
      </c>
      <c r="E32" s="15" t="s">
        <v>461</v>
      </c>
      <c r="F32" s="6"/>
      <c r="G32" s="7"/>
      <c r="H32" s="4"/>
      <c r="I32" s="3"/>
      <c r="J32" s="4"/>
    </row>
    <row r="33" spans="1:10" ht="27.75" x14ac:dyDescent="0.2">
      <c r="A33" s="11" t="s">
        <v>127</v>
      </c>
      <c r="B33" s="6" t="s">
        <v>133</v>
      </c>
      <c r="C33" s="15" t="s">
        <v>134</v>
      </c>
      <c r="D33" s="6" t="s">
        <v>374</v>
      </c>
      <c r="E33" s="15" t="s">
        <v>462</v>
      </c>
      <c r="F33" s="6"/>
      <c r="G33" s="7"/>
      <c r="H33" s="4"/>
      <c r="I33" s="3"/>
      <c r="J33" s="4"/>
    </row>
    <row r="34" spans="1:10" ht="27.75" x14ac:dyDescent="0.2">
      <c r="A34" s="11" t="s">
        <v>130</v>
      </c>
      <c r="B34" s="6" t="s">
        <v>350</v>
      </c>
      <c r="C34" s="15" t="s">
        <v>351</v>
      </c>
      <c r="D34" s="6"/>
      <c r="E34" s="16"/>
      <c r="F34" s="6"/>
      <c r="G34" s="7"/>
      <c r="H34" s="4"/>
      <c r="I34" s="3"/>
      <c r="J34" s="4"/>
    </row>
    <row r="35" spans="1:10" ht="27.75" x14ac:dyDescent="0.2">
      <c r="A35" s="11" t="s">
        <v>132</v>
      </c>
      <c r="B35" s="6" t="s">
        <v>363</v>
      </c>
      <c r="C35" s="15" t="s">
        <v>361</v>
      </c>
      <c r="D35" s="6"/>
      <c r="E35" s="16"/>
      <c r="F35" s="6"/>
      <c r="G35" s="7"/>
      <c r="H35" s="4"/>
      <c r="I35" s="3"/>
      <c r="J35" s="4"/>
    </row>
    <row r="36" spans="1:10" ht="27.75" x14ac:dyDescent="0.2">
      <c r="A36" s="11" t="s">
        <v>135</v>
      </c>
      <c r="B36" s="6" t="s">
        <v>432</v>
      </c>
      <c r="C36" s="15" t="s">
        <v>433</v>
      </c>
      <c r="D36" s="6"/>
      <c r="E36" s="16"/>
      <c r="F36" s="23"/>
      <c r="G36" s="25"/>
      <c r="H36" s="4"/>
      <c r="I36" s="3"/>
      <c r="J36" s="4"/>
    </row>
    <row r="37" spans="1:10" ht="27.75" x14ac:dyDescent="0.2">
      <c r="A37" s="11" t="s">
        <v>136</v>
      </c>
      <c r="B37" s="6" t="s">
        <v>372</v>
      </c>
      <c r="C37" s="15" t="s">
        <v>371</v>
      </c>
      <c r="D37" s="6"/>
      <c r="E37" s="16"/>
      <c r="F37" s="6"/>
      <c r="G37" s="7"/>
      <c r="H37" s="4"/>
      <c r="I37" s="3"/>
      <c r="J37" s="4"/>
    </row>
    <row r="38" spans="1:10" ht="27.75" x14ac:dyDescent="0.2">
      <c r="A38" s="11" t="s">
        <v>137</v>
      </c>
      <c r="B38" s="6" t="s">
        <v>383</v>
      </c>
      <c r="C38" s="15" t="s">
        <v>382</v>
      </c>
      <c r="D38" s="6"/>
      <c r="E38" s="16"/>
      <c r="F38" s="6"/>
      <c r="G38" s="7"/>
      <c r="H38" s="4"/>
      <c r="I38" s="3"/>
      <c r="J38" s="4"/>
    </row>
    <row r="39" spans="1:10" x14ac:dyDescent="0.2">
      <c r="A39" s="11" t="s">
        <v>138</v>
      </c>
      <c r="B39" s="6" t="s">
        <v>407</v>
      </c>
      <c r="C39" s="15" t="s">
        <v>406</v>
      </c>
      <c r="D39" s="6"/>
      <c r="E39" s="16"/>
      <c r="F39" s="6"/>
      <c r="G39" s="7"/>
      <c r="H39" s="4"/>
      <c r="I39" s="3"/>
      <c r="J39" s="4"/>
    </row>
    <row r="40" spans="1:10" x14ac:dyDescent="0.2">
      <c r="A40" s="11" t="s">
        <v>139</v>
      </c>
      <c r="B40" s="6"/>
      <c r="C40" s="15"/>
      <c r="D40" s="6"/>
      <c r="E40" s="16"/>
      <c r="F40" s="6"/>
      <c r="G40" s="9"/>
      <c r="H40" s="4"/>
      <c r="I40" s="3"/>
      <c r="J40" s="4"/>
    </row>
    <row r="41" spans="1:10" x14ac:dyDescent="0.2">
      <c r="A41" s="11" t="s">
        <v>140</v>
      </c>
      <c r="B41" s="6"/>
      <c r="C41" s="15"/>
      <c r="D41" s="6"/>
      <c r="E41" s="16"/>
      <c r="F41" s="6"/>
      <c r="G41" s="7"/>
      <c r="H41" s="4"/>
      <c r="I41" s="3"/>
      <c r="J41" s="4"/>
    </row>
    <row r="42" spans="1:10" x14ac:dyDescent="0.2">
      <c r="A42" s="11" t="s">
        <v>141</v>
      </c>
      <c r="B42" s="6"/>
      <c r="C42" s="16"/>
      <c r="D42" s="6"/>
      <c r="E42" s="16"/>
      <c r="F42" s="6"/>
      <c r="G42" s="7"/>
      <c r="H42" s="4"/>
      <c r="I42" s="3"/>
      <c r="J42" s="4"/>
    </row>
    <row r="43" spans="1:10" x14ac:dyDescent="0.2">
      <c r="A43" s="11" t="s">
        <v>142</v>
      </c>
      <c r="B43" s="6"/>
      <c r="C43" s="16"/>
      <c r="D43" s="6"/>
      <c r="E43" s="16"/>
      <c r="F43" s="6"/>
      <c r="G43" s="7"/>
      <c r="H43" s="4"/>
      <c r="I43" s="3"/>
      <c r="J43" s="4"/>
    </row>
    <row r="44" spans="1:10" x14ac:dyDescent="0.2">
      <c r="A44" s="11" t="s">
        <v>143</v>
      </c>
      <c r="B44" s="6"/>
      <c r="C44" s="16"/>
      <c r="D44" s="6"/>
      <c r="E44" s="16"/>
      <c r="F44" s="6"/>
      <c r="G44" s="7"/>
      <c r="H44" s="4"/>
      <c r="I44" s="3"/>
      <c r="J44" s="4"/>
    </row>
    <row r="45" spans="1:10" x14ac:dyDescent="0.2">
      <c r="A45" s="11" t="s">
        <v>144</v>
      </c>
      <c r="B45" s="6"/>
      <c r="C45" s="16"/>
      <c r="D45" s="6"/>
      <c r="E45" s="16"/>
      <c r="F45" s="6"/>
      <c r="G45" s="7"/>
      <c r="H45" s="4"/>
      <c r="I45" s="3"/>
      <c r="J45" s="4"/>
    </row>
    <row r="46" spans="1:10" x14ac:dyDescent="0.2">
      <c r="A46" s="11" t="s">
        <v>145</v>
      </c>
      <c r="B46" s="6"/>
      <c r="C46" s="16"/>
      <c r="D46" s="6"/>
      <c r="E46" s="16"/>
      <c r="F46" s="6"/>
      <c r="G46" s="7"/>
      <c r="H46" s="4"/>
      <c r="I46" s="3"/>
      <c r="J46" s="4"/>
    </row>
    <row r="47" spans="1:10" x14ac:dyDescent="0.2">
      <c r="A47" s="11" t="s">
        <v>146</v>
      </c>
      <c r="B47" s="6"/>
      <c r="C47" s="16"/>
      <c r="D47" s="6"/>
      <c r="E47" s="16"/>
      <c r="F47" s="6"/>
      <c r="G47" s="7"/>
      <c r="H47" s="4"/>
      <c r="I47" s="3"/>
      <c r="J47" s="4"/>
    </row>
    <row r="48" spans="1:10" x14ac:dyDescent="0.2">
      <c r="A48" s="11" t="s">
        <v>147</v>
      </c>
      <c r="B48" s="6"/>
      <c r="C48" s="16"/>
      <c r="D48" s="6"/>
      <c r="E48" s="16"/>
      <c r="F48" s="6"/>
      <c r="G48" s="7"/>
      <c r="H48" s="4"/>
      <c r="I48" s="3"/>
      <c r="J48" s="4"/>
    </row>
    <row r="49" spans="1:10" x14ac:dyDescent="0.2">
      <c r="A49" s="11" t="s">
        <v>148</v>
      </c>
      <c r="B49" s="6"/>
      <c r="C49" s="16"/>
      <c r="D49" s="6"/>
      <c r="E49" s="16"/>
      <c r="F49" s="6"/>
      <c r="G49" s="7"/>
      <c r="H49" s="4"/>
      <c r="I49" s="3"/>
      <c r="J49" s="4"/>
    </row>
    <row r="50" spans="1:10" x14ac:dyDescent="0.2">
      <c r="A50" s="11" t="s">
        <v>149</v>
      </c>
      <c r="B50" s="6"/>
      <c r="C50" s="16"/>
      <c r="D50" s="6"/>
      <c r="E50" s="16"/>
      <c r="F50" s="6"/>
      <c r="G50" s="7"/>
      <c r="H50" s="4"/>
      <c r="I50" s="3"/>
      <c r="J50" s="4"/>
    </row>
    <row r="51" spans="1:10" x14ac:dyDescent="0.2">
      <c r="A51" s="11" t="s">
        <v>150</v>
      </c>
      <c r="B51" s="99"/>
      <c r="C51" s="100"/>
      <c r="D51" s="6"/>
      <c r="E51" s="16"/>
      <c r="F51" s="6"/>
      <c r="G51" s="7"/>
      <c r="H51" s="4"/>
      <c r="I51" s="3"/>
      <c r="J51" s="4"/>
    </row>
    <row r="52" spans="1:10" x14ac:dyDescent="0.2">
      <c r="A52" s="11" t="s">
        <v>151</v>
      </c>
      <c r="B52" s="99"/>
      <c r="C52" s="100"/>
      <c r="D52" s="6"/>
      <c r="E52" s="16"/>
      <c r="F52" s="6"/>
      <c r="G52" s="7"/>
      <c r="H52" s="4"/>
      <c r="I52" s="3"/>
      <c r="J52" s="4"/>
    </row>
    <row r="53" spans="1:10" ht="15.75" thickBot="1" x14ac:dyDescent="0.25">
      <c r="A53" s="12" t="s">
        <v>152</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4" activePane="bottomLeft" state="frozen"/>
      <selection activeCell="E1" sqref="E1"/>
      <selection pane="bottomLeft" activeCell="D11" sqref="D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47" t="s">
        <v>153</v>
      </c>
      <c r="B1" s="48" t="s">
        <v>154</v>
      </c>
      <c r="C1" s="49" t="s">
        <v>155</v>
      </c>
      <c r="D1" s="50" t="s">
        <v>156</v>
      </c>
      <c r="E1" s="50" t="s">
        <v>157</v>
      </c>
      <c r="F1" s="50" t="s">
        <v>158</v>
      </c>
      <c r="G1" s="50" t="s">
        <v>323</v>
      </c>
      <c r="H1" s="50" t="s">
        <v>159</v>
      </c>
      <c r="I1" s="51" t="s">
        <v>160</v>
      </c>
    </row>
    <row r="2" spans="1:9" ht="54.75" x14ac:dyDescent="0.2">
      <c r="A2" s="43" t="s">
        <v>304</v>
      </c>
      <c r="B2" s="44" t="s">
        <v>381</v>
      </c>
      <c r="C2" s="45" t="s">
        <v>161</v>
      </c>
      <c r="D2" s="46" t="s">
        <v>162</v>
      </c>
      <c r="E2" s="46" t="s">
        <v>163</v>
      </c>
      <c r="F2" s="46" t="s">
        <v>164</v>
      </c>
      <c r="G2" s="46" t="s">
        <v>165</v>
      </c>
      <c r="H2" s="46" t="s">
        <v>166</v>
      </c>
      <c r="I2" s="46" t="s">
        <v>399</v>
      </c>
    </row>
    <row r="3" spans="1:9" ht="54.75" x14ac:dyDescent="0.2">
      <c r="A3" s="33" t="s">
        <v>325</v>
      </c>
      <c r="B3" s="31" t="s">
        <v>324</v>
      </c>
      <c r="C3" s="34" t="s">
        <v>161</v>
      </c>
      <c r="D3" s="38" t="s">
        <v>307</v>
      </c>
      <c r="E3" s="38" t="s">
        <v>167</v>
      </c>
      <c r="F3" s="38" t="s">
        <v>168</v>
      </c>
      <c r="G3" s="38" t="s">
        <v>169</v>
      </c>
      <c r="H3" s="38" t="s">
        <v>278</v>
      </c>
      <c r="I3" s="38" t="s">
        <v>170</v>
      </c>
    </row>
    <row r="4" spans="1:9" ht="81" x14ac:dyDescent="0.2">
      <c r="A4" s="33" t="s">
        <v>171</v>
      </c>
      <c r="B4" s="32" t="s">
        <v>172</v>
      </c>
      <c r="C4" s="34" t="s">
        <v>161</v>
      </c>
      <c r="D4" s="38" t="s">
        <v>173</v>
      </c>
      <c r="E4" s="38" t="s">
        <v>174</v>
      </c>
      <c r="F4" s="38" t="s">
        <v>354</v>
      </c>
      <c r="G4" s="38" t="s">
        <v>175</v>
      </c>
      <c r="H4" s="38" t="s">
        <v>176</v>
      </c>
      <c r="I4" s="41"/>
    </row>
    <row r="5" spans="1:9" ht="54.75" x14ac:dyDescent="0.2">
      <c r="A5" s="33" t="s">
        <v>177</v>
      </c>
      <c r="B5" s="31" t="s">
        <v>284</v>
      </c>
      <c r="C5" s="34" t="s">
        <v>161</v>
      </c>
      <c r="D5" s="38" t="s">
        <v>178</v>
      </c>
      <c r="E5" s="38" t="s">
        <v>179</v>
      </c>
      <c r="F5" s="38" t="s">
        <v>180</v>
      </c>
      <c r="G5" s="38" t="s">
        <v>321</v>
      </c>
      <c r="H5" s="38" t="s">
        <v>277</v>
      </c>
      <c r="I5" s="41"/>
    </row>
    <row r="6" spans="1:9" ht="108" x14ac:dyDescent="0.2">
      <c r="A6" s="33" t="s">
        <v>181</v>
      </c>
      <c r="B6" s="32" t="s">
        <v>182</v>
      </c>
      <c r="C6" s="34" t="s">
        <v>161</v>
      </c>
      <c r="D6" s="38" t="s">
        <v>183</v>
      </c>
      <c r="E6" s="38" t="s">
        <v>184</v>
      </c>
      <c r="F6" s="38" t="s">
        <v>185</v>
      </c>
      <c r="G6" s="38" t="s">
        <v>322</v>
      </c>
      <c r="H6" s="38" t="s">
        <v>384</v>
      </c>
      <c r="I6" s="41"/>
    </row>
    <row r="7" spans="1:9" ht="41.25" x14ac:dyDescent="0.2">
      <c r="A7" s="33" t="s">
        <v>186</v>
      </c>
      <c r="B7" s="32" t="s">
        <v>187</v>
      </c>
      <c r="C7" s="34" t="s">
        <v>161</v>
      </c>
      <c r="D7" s="38" t="s">
        <v>359</v>
      </c>
      <c r="E7" s="38" t="s">
        <v>282</v>
      </c>
      <c r="F7" s="40" t="s">
        <v>309</v>
      </c>
      <c r="G7" s="38" t="s">
        <v>188</v>
      </c>
      <c r="H7" s="38"/>
      <c r="I7" s="41"/>
    </row>
    <row r="8" spans="1:9" ht="41.25" x14ac:dyDescent="0.2">
      <c r="A8" s="33" t="s">
        <v>189</v>
      </c>
      <c r="B8" s="31" t="s">
        <v>190</v>
      </c>
      <c r="C8" s="34" t="s">
        <v>161</v>
      </c>
      <c r="D8" s="38" t="s">
        <v>191</v>
      </c>
      <c r="E8" s="38" t="s">
        <v>283</v>
      </c>
      <c r="F8" s="38" t="s">
        <v>192</v>
      </c>
      <c r="G8" s="38"/>
      <c r="H8" s="38"/>
      <c r="I8" s="41"/>
    </row>
    <row r="9" spans="1:9" ht="108" x14ac:dyDescent="0.2">
      <c r="A9" s="33" t="s">
        <v>193</v>
      </c>
      <c r="B9" s="31" t="s">
        <v>194</v>
      </c>
      <c r="C9" s="34" t="s">
        <v>161</v>
      </c>
      <c r="D9" s="38" t="s">
        <v>195</v>
      </c>
      <c r="E9" s="38" t="s">
        <v>196</v>
      </c>
      <c r="F9" s="38" t="s">
        <v>197</v>
      </c>
      <c r="G9" s="38"/>
      <c r="H9" s="38"/>
      <c r="I9" s="41"/>
    </row>
    <row r="10" spans="1:9" ht="27.75" x14ac:dyDescent="0.2">
      <c r="A10" s="33" t="s">
        <v>453</v>
      </c>
      <c r="B10" s="31" t="s">
        <v>198</v>
      </c>
      <c r="C10" s="34" t="s">
        <v>161</v>
      </c>
      <c r="D10" s="38" t="s">
        <v>365</v>
      </c>
      <c r="E10" s="38" t="s">
        <v>199</v>
      </c>
      <c r="F10" s="38"/>
      <c r="G10" s="38"/>
      <c r="H10" s="38"/>
      <c r="I10" s="41"/>
    </row>
    <row r="11" spans="1:9" ht="68.25" x14ac:dyDescent="0.2">
      <c r="A11" s="33" t="s">
        <v>200</v>
      </c>
      <c r="B11" s="31" t="s">
        <v>364</v>
      </c>
      <c r="C11" s="34" t="s">
        <v>161</v>
      </c>
      <c r="D11" s="38"/>
      <c r="E11" s="38" t="s">
        <v>366</v>
      </c>
      <c r="F11" s="38"/>
      <c r="G11" s="38"/>
      <c r="H11" s="38"/>
      <c r="I11" s="41"/>
    </row>
    <row r="12" spans="1:9" ht="27.75" x14ac:dyDescent="0.2">
      <c r="A12" s="33" t="s">
        <v>201</v>
      </c>
      <c r="B12" s="31" t="s">
        <v>202</v>
      </c>
      <c r="C12" s="34" t="s">
        <v>161</v>
      </c>
      <c r="D12" s="38"/>
      <c r="E12" s="38" t="s">
        <v>203</v>
      </c>
      <c r="F12" s="40"/>
      <c r="G12" s="38"/>
      <c r="H12" s="38"/>
      <c r="I12" s="41"/>
    </row>
    <row r="13" spans="1:9" ht="27.75" x14ac:dyDescent="0.2">
      <c r="A13" s="33" t="s">
        <v>204</v>
      </c>
      <c r="B13" s="31" t="s">
        <v>205</v>
      </c>
      <c r="C13" s="34" t="s">
        <v>161</v>
      </c>
      <c r="D13" s="38"/>
      <c r="E13" s="38" t="s">
        <v>206</v>
      </c>
      <c r="F13" s="40"/>
      <c r="G13" s="38"/>
      <c r="H13" s="38"/>
      <c r="I13" s="41"/>
    </row>
    <row r="14" spans="1:9" ht="41.25" x14ac:dyDescent="0.2">
      <c r="A14" s="33" t="s">
        <v>207</v>
      </c>
      <c r="B14" s="31" t="s">
        <v>208</v>
      </c>
      <c r="C14" s="34" t="s">
        <v>209</v>
      </c>
      <c r="D14" s="38"/>
      <c r="E14" s="38" t="s">
        <v>210</v>
      </c>
      <c r="F14" s="40"/>
      <c r="G14" s="38"/>
      <c r="H14" s="38"/>
      <c r="I14" s="41"/>
    </row>
    <row r="15" spans="1:9" ht="41.25" x14ac:dyDescent="0.2">
      <c r="A15" s="33" t="s">
        <v>211</v>
      </c>
      <c r="B15" s="31" t="s">
        <v>212</v>
      </c>
      <c r="C15" s="34" t="s">
        <v>209</v>
      </c>
      <c r="D15" s="38"/>
      <c r="E15" s="38"/>
      <c r="F15" s="38"/>
      <c r="G15" s="38"/>
      <c r="H15" s="38"/>
      <c r="I15" s="41"/>
    </row>
    <row r="16" spans="1:9" ht="41.25" x14ac:dyDescent="0.2">
      <c r="A16" s="33" t="s">
        <v>213</v>
      </c>
      <c r="B16" s="31" t="s">
        <v>214</v>
      </c>
      <c r="C16" s="34" t="s">
        <v>209</v>
      </c>
      <c r="D16" s="38"/>
      <c r="E16" s="38"/>
      <c r="F16" s="38"/>
      <c r="G16" s="38"/>
      <c r="H16" s="38"/>
      <c r="I16" s="41"/>
    </row>
    <row r="17" spans="1:9" ht="54.75" x14ac:dyDescent="0.2">
      <c r="A17" s="33" t="s">
        <v>367</v>
      </c>
      <c r="B17" s="31" t="s">
        <v>369</v>
      </c>
      <c r="C17" s="34" t="s">
        <v>209</v>
      </c>
      <c r="D17" s="38"/>
      <c r="E17" s="38"/>
      <c r="F17" s="38"/>
      <c r="G17" s="38"/>
      <c r="H17" s="38"/>
      <c r="I17" s="41"/>
    </row>
    <row r="18" spans="1:9" ht="27.75" x14ac:dyDescent="0.2">
      <c r="A18" s="33" t="s">
        <v>215</v>
      </c>
      <c r="B18" s="31" t="s">
        <v>216</v>
      </c>
      <c r="C18" s="34" t="s">
        <v>217</v>
      </c>
      <c r="D18" s="38"/>
      <c r="E18" s="38"/>
      <c r="F18" s="38"/>
      <c r="G18" s="38"/>
      <c r="H18" s="38"/>
      <c r="I18" s="41"/>
    </row>
    <row r="19" spans="1:9" ht="54.75" x14ac:dyDescent="0.2">
      <c r="A19" s="33" t="s">
        <v>218</v>
      </c>
      <c r="B19" s="31" t="s">
        <v>219</v>
      </c>
      <c r="C19" s="34" t="s">
        <v>217</v>
      </c>
      <c r="D19" s="38"/>
      <c r="E19" s="38"/>
      <c r="F19" s="38"/>
      <c r="G19" s="38"/>
      <c r="H19" s="38"/>
      <c r="I19" s="41"/>
    </row>
    <row r="20" spans="1:9" ht="54.75" x14ac:dyDescent="0.2">
      <c r="A20" s="33" t="s">
        <v>220</v>
      </c>
      <c r="B20" s="31" t="s">
        <v>221</v>
      </c>
      <c r="C20" s="34" t="s">
        <v>217</v>
      </c>
      <c r="D20" s="38"/>
      <c r="E20" s="38"/>
      <c r="F20" s="38"/>
      <c r="G20" s="38"/>
      <c r="H20" s="38"/>
      <c r="I20" s="41"/>
    </row>
    <row r="21" spans="1:9" ht="41.25" x14ac:dyDescent="0.2">
      <c r="A21" s="33" t="s">
        <v>347</v>
      </c>
      <c r="B21" s="31" t="s">
        <v>348</v>
      </c>
      <c r="C21" s="34" t="s">
        <v>217</v>
      </c>
      <c r="D21" s="38"/>
      <c r="E21" s="38"/>
      <c r="F21" s="38"/>
      <c r="G21" s="38"/>
      <c r="H21" s="38"/>
      <c r="I21" s="41"/>
    </row>
    <row r="22" spans="1:9" ht="54.75" x14ac:dyDescent="0.2">
      <c r="A22" s="33" t="s">
        <v>207</v>
      </c>
      <c r="B22" s="31" t="s">
        <v>222</v>
      </c>
      <c r="C22" s="34" t="s">
        <v>217</v>
      </c>
      <c r="D22" s="38"/>
      <c r="E22" s="38"/>
      <c r="F22" s="38"/>
      <c r="G22" s="38"/>
      <c r="H22" s="38"/>
      <c r="I22" s="41"/>
    </row>
    <row r="23" spans="1:9" ht="54.75" x14ac:dyDescent="0.2">
      <c r="A23" s="33" t="s">
        <v>211</v>
      </c>
      <c r="B23" s="31" t="s">
        <v>223</v>
      </c>
      <c r="C23" s="34" t="s">
        <v>217</v>
      </c>
      <c r="D23" s="38"/>
      <c r="E23" s="38"/>
      <c r="F23" s="38"/>
      <c r="G23" s="38"/>
      <c r="H23" s="38"/>
      <c r="I23" s="41"/>
    </row>
    <row r="24" spans="1:9" ht="42" thickBot="1" x14ac:dyDescent="0.25">
      <c r="A24" s="35" t="s">
        <v>213</v>
      </c>
      <c r="B24" s="36" t="s">
        <v>224</v>
      </c>
      <c r="C24" s="37" t="s">
        <v>217</v>
      </c>
      <c r="D24" s="38"/>
      <c r="E24" s="38"/>
      <c r="F24" s="38"/>
      <c r="G24" s="38"/>
      <c r="H24" s="38"/>
      <c r="I24" s="41"/>
    </row>
    <row r="25" spans="1:9" ht="42" thickBot="1" x14ac:dyDescent="0.25">
      <c r="A25" s="35" t="s">
        <v>367</v>
      </c>
      <c r="B25" s="36" t="s">
        <v>368</v>
      </c>
      <c r="C25" s="37" t="s">
        <v>217</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C2" activePane="bottomLeft" state="frozen"/>
      <selection activeCell="B1" sqref="B1"/>
      <selection pane="bottomLeft" activeCell="E20" sqref="E20"/>
    </sheetView>
  </sheetViews>
  <sheetFormatPr defaultRowHeight="15" x14ac:dyDescent="0.2"/>
  <cols>
    <col min="1" max="1" width="19.1015625" bestFit="1" customWidth="1"/>
    <col min="2" max="7" width="30.66796875" customWidth="1"/>
  </cols>
  <sheetData>
    <row r="1" spans="1:9" ht="15.75" thickBot="1" x14ac:dyDescent="0.25">
      <c r="A1" s="61"/>
      <c r="B1" s="55" t="s">
        <v>225</v>
      </c>
      <c r="C1" s="55" t="s">
        <v>226</v>
      </c>
      <c r="D1" s="54" t="s">
        <v>227</v>
      </c>
      <c r="E1" s="103" t="s">
        <v>228</v>
      </c>
      <c r="F1" s="102" t="s">
        <v>229</v>
      </c>
      <c r="G1" s="55" t="s">
        <v>230</v>
      </c>
      <c r="I1" t="s">
        <v>279</v>
      </c>
    </row>
    <row r="2" spans="1:9" x14ac:dyDescent="0.2">
      <c r="A2" s="63" t="s">
        <v>231</v>
      </c>
      <c r="B2" s="64" t="s">
        <v>86</v>
      </c>
      <c r="C2" s="58" t="s">
        <v>67</v>
      </c>
      <c r="D2" s="59" t="s">
        <v>71</v>
      </c>
      <c r="E2" s="101" t="s">
        <v>78</v>
      </c>
      <c r="F2" s="107" t="s">
        <v>99</v>
      </c>
      <c r="G2" s="58" t="s">
        <v>117</v>
      </c>
      <c r="I2" t="s">
        <v>280</v>
      </c>
    </row>
    <row r="3" spans="1:9" x14ac:dyDescent="0.2">
      <c r="A3" s="63" t="s">
        <v>232</v>
      </c>
      <c r="B3" s="65" t="s">
        <v>41</v>
      </c>
      <c r="C3" s="57" t="s">
        <v>439</v>
      </c>
      <c r="D3" s="56" t="s">
        <v>352</v>
      </c>
      <c r="E3" s="104" t="s">
        <v>94</v>
      </c>
      <c r="F3" s="53" t="s">
        <v>320</v>
      </c>
      <c r="G3" s="57" t="s">
        <v>128</v>
      </c>
      <c r="I3" t="s">
        <v>281</v>
      </c>
    </row>
    <row r="4" spans="1:9" x14ac:dyDescent="0.2">
      <c r="A4" s="63" t="s">
        <v>233</v>
      </c>
      <c r="B4" s="57" t="s">
        <v>61</v>
      </c>
      <c r="C4" s="57" t="s">
        <v>21</v>
      </c>
      <c r="D4" s="56" t="s">
        <v>113</v>
      </c>
      <c r="E4" s="104" t="s">
        <v>75</v>
      </c>
      <c r="F4" s="56" t="s">
        <v>107</v>
      </c>
      <c r="G4" s="57" t="s">
        <v>110</v>
      </c>
      <c r="I4" t="s">
        <v>345</v>
      </c>
    </row>
    <row r="5" spans="1:9" ht="15.75" thickBot="1" x14ac:dyDescent="0.25">
      <c r="A5" s="63" t="s">
        <v>234</v>
      </c>
      <c r="B5" s="62" t="s">
        <v>133</v>
      </c>
      <c r="C5" s="62" t="s">
        <v>57</v>
      </c>
      <c r="D5" s="60" t="s">
        <v>17</v>
      </c>
      <c r="E5" s="105" t="s">
        <v>362</v>
      </c>
      <c r="F5" s="108" t="s">
        <v>82</v>
      </c>
      <c r="G5" s="106" t="s">
        <v>372</v>
      </c>
      <c r="I5" t="s">
        <v>285</v>
      </c>
    </row>
    <row r="6" spans="1:9" ht="15.75" thickBot="1" x14ac:dyDescent="0.25">
      <c r="A6" s="86" t="s">
        <v>235</v>
      </c>
      <c r="B6" s="87" t="s">
        <v>101</v>
      </c>
      <c r="C6" s="88" t="s">
        <v>34</v>
      </c>
      <c r="D6" s="89" t="s">
        <v>69</v>
      </c>
      <c r="E6" s="90" t="s">
        <v>108</v>
      </c>
      <c r="F6" s="82" t="s">
        <v>58</v>
      </c>
      <c r="G6" s="91" t="s">
        <v>115</v>
      </c>
      <c r="I6" t="s">
        <v>286</v>
      </c>
    </row>
    <row r="7" spans="1:9" ht="15.75" thickBot="1" x14ac:dyDescent="0.25">
      <c r="A7" s="66" t="s">
        <v>236</v>
      </c>
      <c r="B7" s="66" t="s">
        <v>237</v>
      </c>
      <c r="C7" s="63" t="s">
        <v>312</v>
      </c>
      <c r="D7" t="s">
        <v>238</v>
      </c>
      <c r="E7" s="63" t="s">
        <v>239</v>
      </c>
      <c r="F7" t="s">
        <v>240</v>
      </c>
      <c r="G7" s="63" t="s">
        <v>160</v>
      </c>
      <c r="I7" t="s">
        <v>290</v>
      </c>
    </row>
    <row r="8" spans="1:9" x14ac:dyDescent="0.2">
      <c r="A8" s="84" t="s">
        <v>287</v>
      </c>
      <c r="B8" s="84" t="s">
        <v>228</v>
      </c>
      <c r="C8" s="80" t="s">
        <v>229</v>
      </c>
      <c r="D8" s="84" t="s">
        <v>230</v>
      </c>
      <c r="E8" s="80" t="s">
        <v>225</v>
      </c>
      <c r="F8" s="84" t="s">
        <v>226</v>
      </c>
      <c r="G8" s="81" t="s">
        <v>227</v>
      </c>
      <c r="I8" t="s">
        <v>291</v>
      </c>
    </row>
    <row r="9" spans="1:9" x14ac:dyDescent="0.2">
      <c r="A9" s="53" t="s">
        <v>288</v>
      </c>
      <c r="B9" s="53" t="s">
        <v>229</v>
      </c>
      <c r="C9" t="s">
        <v>227</v>
      </c>
      <c r="D9" s="53" t="s">
        <v>226</v>
      </c>
      <c r="E9" t="s">
        <v>230</v>
      </c>
      <c r="F9" s="53" t="s">
        <v>225</v>
      </c>
      <c r="G9" s="65" t="s">
        <v>228</v>
      </c>
    </row>
    <row r="10" spans="1:9" ht="15.75" thickBot="1" x14ac:dyDescent="0.25">
      <c r="A10" s="85" t="s">
        <v>289</v>
      </c>
      <c r="B10" s="85" t="s">
        <v>227</v>
      </c>
      <c r="C10" s="82" t="s">
        <v>230</v>
      </c>
      <c r="D10" s="85" t="s">
        <v>225</v>
      </c>
      <c r="E10" s="82" t="s">
        <v>229</v>
      </c>
      <c r="F10" s="85" t="s">
        <v>228</v>
      </c>
      <c r="G10" s="83" t="s">
        <v>226</v>
      </c>
    </row>
    <row r="12" spans="1:9" x14ac:dyDescent="0.2">
      <c r="A12" s="3" t="s">
        <v>311</v>
      </c>
    </row>
    <row r="13" spans="1:9" x14ac:dyDescent="0.2">
      <c r="A13" s="3" t="s">
        <v>313</v>
      </c>
      <c r="B13" s="2" t="s">
        <v>443</v>
      </c>
      <c r="C13" s="2" t="s">
        <v>404</v>
      </c>
      <c r="D13" s="2" t="s">
        <v>292</v>
      </c>
      <c r="E13" s="2" t="s">
        <v>444</v>
      </c>
      <c r="F13" s="2" t="s">
        <v>299</v>
      </c>
      <c r="G13" s="2" t="s">
        <v>459</v>
      </c>
    </row>
    <row r="14" spans="1:9" x14ac:dyDescent="0.2">
      <c r="A14" s="3"/>
      <c r="B14" s="2" t="s">
        <v>292</v>
      </c>
      <c r="C14" s="2" t="s">
        <v>445</v>
      </c>
      <c r="D14" s="2" t="s">
        <v>298</v>
      </c>
      <c r="E14" s="2" t="s">
        <v>401</v>
      </c>
      <c r="F14" s="2" t="s">
        <v>446</v>
      </c>
      <c r="G14" s="2" t="s">
        <v>301</v>
      </c>
    </row>
    <row r="15" spans="1:9" x14ac:dyDescent="0.2">
      <c r="A15" s="3"/>
      <c r="B15" s="2" t="s">
        <v>447</v>
      </c>
      <c r="C15" s="2" t="s">
        <v>186</v>
      </c>
      <c r="D15" s="2" t="s">
        <v>294</v>
      </c>
      <c r="E15" s="2" t="s">
        <v>448</v>
      </c>
      <c r="F15" s="2" t="s">
        <v>449</v>
      </c>
      <c r="G15" s="2" t="s">
        <v>293</v>
      </c>
    </row>
    <row r="16" spans="1:9" ht="27.75" x14ac:dyDescent="0.2">
      <c r="A16" s="3"/>
      <c r="B16" s="2" t="s">
        <v>450</v>
      </c>
      <c r="C16" s="2" t="s">
        <v>451</v>
      </c>
      <c r="D16" s="2" t="s">
        <v>181</v>
      </c>
      <c r="E16" s="2" t="s">
        <v>186</v>
      </c>
      <c r="F16" s="2" t="s">
        <v>459</v>
      </c>
      <c r="G16" s="2" t="s">
        <v>451</v>
      </c>
    </row>
    <row r="17" spans="1:9" x14ac:dyDescent="0.2">
      <c r="A17" s="3"/>
      <c r="B17" s="2"/>
      <c r="C17" s="2"/>
      <c r="D17" s="2"/>
      <c r="E17" s="2"/>
      <c r="F17" s="2"/>
      <c r="G17" s="2"/>
    </row>
    <row r="18" spans="1:9" x14ac:dyDescent="0.2">
      <c r="A18" s="3" t="s">
        <v>314</v>
      </c>
      <c r="B18" s="2" t="s">
        <v>186</v>
      </c>
      <c r="C18" s="3" t="s">
        <v>316</v>
      </c>
      <c r="D18" s="2" t="s">
        <v>296</v>
      </c>
      <c r="E18" s="2" t="s">
        <v>403</v>
      </c>
      <c r="F18" s="2" t="s">
        <v>295</v>
      </c>
      <c r="G18" s="2" t="s">
        <v>404</v>
      </c>
      <c r="I18" t="s">
        <v>409</v>
      </c>
    </row>
    <row r="19" spans="1:9" x14ac:dyDescent="0.2">
      <c r="A19" s="3"/>
      <c r="B19" s="2" t="s">
        <v>453</v>
      </c>
      <c r="C19" s="2" t="s">
        <v>402</v>
      </c>
      <c r="D19" s="2" t="s">
        <v>292</v>
      </c>
      <c r="E19" s="2" t="s">
        <v>292</v>
      </c>
      <c r="F19" s="2" t="s">
        <v>299</v>
      </c>
      <c r="G19" s="2" t="s">
        <v>294</v>
      </c>
      <c r="I19" t="s">
        <v>297</v>
      </c>
    </row>
    <row r="20" spans="1:9" x14ac:dyDescent="0.2">
      <c r="A20" s="3"/>
      <c r="B20" s="2" t="s">
        <v>292</v>
      </c>
      <c r="C20" s="2" t="s">
        <v>405</v>
      </c>
      <c r="D20" s="2" t="s">
        <v>293</v>
      </c>
      <c r="E20" t="s">
        <v>453</v>
      </c>
      <c r="F20" s="2" t="s">
        <v>347</v>
      </c>
      <c r="G20" s="2" t="s">
        <v>301</v>
      </c>
    </row>
    <row r="21" spans="1:9" ht="27.75" x14ac:dyDescent="0.2">
      <c r="A21" s="3"/>
      <c r="B21" s="2"/>
      <c r="C21" s="2" t="s">
        <v>292</v>
      </c>
      <c r="D21" t="s">
        <v>408</v>
      </c>
      <c r="E21" s="2" t="s">
        <v>442</v>
      </c>
      <c r="F21" s="2" t="s">
        <v>293</v>
      </c>
      <c r="G21" s="2" t="s">
        <v>293</v>
      </c>
    </row>
    <row r="22" spans="1:9" x14ac:dyDescent="0.2">
      <c r="A22" s="3"/>
      <c r="B22" s="2"/>
      <c r="D22" s="2" t="s">
        <v>310</v>
      </c>
      <c r="G22" s="2"/>
    </row>
    <row r="23" spans="1:9" x14ac:dyDescent="0.2">
      <c r="A23" s="3"/>
      <c r="B23" s="2"/>
      <c r="D23" s="2"/>
      <c r="E23" s="2"/>
      <c r="F23" s="2"/>
      <c r="G23" s="2"/>
    </row>
    <row r="24" spans="1:9" ht="27.75" x14ac:dyDescent="0.2">
      <c r="A24" s="3" t="s">
        <v>315</v>
      </c>
      <c r="B24" s="2" t="s">
        <v>304</v>
      </c>
      <c r="C24" s="2" t="s">
        <v>220</v>
      </c>
      <c r="D24" s="2" t="s">
        <v>193</v>
      </c>
      <c r="E24" s="2" t="s">
        <v>300</v>
      </c>
      <c r="F24" s="2" t="s">
        <v>411</v>
      </c>
      <c r="G24" s="2" t="s">
        <v>308</v>
      </c>
      <c r="I24" t="s">
        <v>409</v>
      </c>
    </row>
    <row r="25" spans="1:9" x14ac:dyDescent="0.2">
      <c r="A25" s="3"/>
      <c r="B25" s="2" t="s">
        <v>201</v>
      </c>
      <c r="C25" s="2" t="s">
        <v>204</v>
      </c>
      <c r="D25" s="2" t="s">
        <v>304</v>
      </c>
      <c r="E25" s="2" t="s">
        <v>319</v>
      </c>
      <c r="F25" s="2" t="s">
        <v>452</v>
      </c>
      <c r="G25" s="2" t="s">
        <v>415</v>
      </c>
      <c r="I25" t="s">
        <v>297</v>
      </c>
    </row>
    <row r="26" spans="1:9" x14ac:dyDescent="0.2">
      <c r="A26" s="3"/>
      <c r="B26" s="2" t="s">
        <v>414</v>
      </c>
      <c r="C26" s="2" t="s">
        <v>218</v>
      </c>
      <c r="D26" s="2" t="s">
        <v>201</v>
      </c>
      <c r="E26" t="s">
        <v>413</v>
      </c>
      <c r="F26" s="2" t="s">
        <v>201</v>
      </c>
      <c r="G26" s="2" t="s">
        <v>302</v>
      </c>
      <c r="I26" t="s">
        <v>306</v>
      </c>
    </row>
    <row r="27" spans="1:9" x14ac:dyDescent="0.2">
      <c r="A27" s="3"/>
      <c r="B27" s="2"/>
      <c r="C27" s="2" t="s">
        <v>303</v>
      </c>
      <c r="D27" s="2" t="s">
        <v>415</v>
      </c>
      <c r="F27" s="2" t="s">
        <v>304</v>
      </c>
      <c r="G27" s="2"/>
      <c r="I27" t="s">
        <v>305</v>
      </c>
    </row>
    <row r="28" spans="1:9" x14ac:dyDescent="0.2">
      <c r="A28" s="3"/>
      <c r="B28" s="1"/>
      <c r="C28" s="1"/>
      <c r="D28" s="1"/>
      <c r="E28" s="2"/>
      <c r="F28" s="1"/>
      <c r="G28" s="1"/>
      <c r="I28" t="s">
        <v>412</v>
      </c>
    </row>
    <row r="29" spans="1:9" x14ac:dyDescent="0.2">
      <c r="A29" s="3"/>
      <c r="B29" s="1"/>
      <c r="C29" s="1"/>
      <c r="D29" s="1"/>
      <c r="E29" s="1"/>
      <c r="F29" s="1"/>
      <c r="G29" s="1"/>
      <c r="I29" t="s">
        <v>416</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453125" defaultRowHeight="37.5" x14ac:dyDescent="0.55000000000000004"/>
  <cols>
    <col min="1" max="6" width="30.66796875" style="26" customWidth="1"/>
    <col min="7" max="16384" width="9.14453125" style="26"/>
  </cols>
  <sheetData>
    <row r="1" spans="1:6" ht="99.95" customHeight="1" thickBot="1" x14ac:dyDescent="0.6">
      <c r="A1" s="127" t="s">
        <v>243</v>
      </c>
      <c r="B1" s="128"/>
      <c r="C1" s="128"/>
      <c r="D1" s="128"/>
      <c r="E1" s="128"/>
      <c r="F1" s="129"/>
    </row>
    <row r="2" spans="1:6" ht="99.95" customHeight="1" thickBot="1" x14ac:dyDescent="0.6">
      <c r="A2" s="123" t="s">
        <v>460</v>
      </c>
      <c r="B2" s="123" t="s">
        <v>460</v>
      </c>
      <c r="C2" s="123" t="s">
        <v>460</v>
      </c>
      <c r="D2" s="123" t="s">
        <v>460</v>
      </c>
      <c r="E2" s="123" t="s">
        <v>460</v>
      </c>
      <c r="F2" s="123" t="s">
        <v>460</v>
      </c>
    </row>
    <row r="3" spans="1:6" ht="99.95" customHeight="1" thickBot="1" x14ac:dyDescent="0.6">
      <c r="A3" s="115">
        <v>0</v>
      </c>
      <c r="B3" s="116">
        <v>1</v>
      </c>
      <c r="C3" s="116">
        <v>2</v>
      </c>
      <c r="D3" s="115">
        <v>3</v>
      </c>
      <c r="E3" s="116">
        <v>4</v>
      </c>
      <c r="F3" s="115">
        <v>5</v>
      </c>
    </row>
    <row r="4" spans="1:6" ht="99.95" customHeight="1" thickBot="1" x14ac:dyDescent="0.6">
      <c r="A4" s="117">
        <v>25</v>
      </c>
      <c r="B4" s="28" t="s">
        <v>453</v>
      </c>
      <c r="C4" s="28" t="s">
        <v>189</v>
      </c>
      <c r="D4" s="29" t="s">
        <v>193</v>
      </c>
      <c r="E4" s="28" t="s">
        <v>304</v>
      </c>
      <c r="F4" s="117">
        <v>6</v>
      </c>
    </row>
    <row r="5" spans="1:6" ht="99.95" customHeight="1" thickBot="1" x14ac:dyDescent="0.6">
      <c r="A5" s="118">
        <v>24</v>
      </c>
      <c r="B5" s="27" t="s">
        <v>171</v>
      </c>
      <c r="C5" s="27" t="s">
        <v>177</v>
      </c>
      <c r="D5" s="111" t="s">
        <v>181</v>
      </c>
      <c r="E5" s="27" t="s">
        <v>186</v>
      </c>
      <c r="F5" s="117">
        <v>7</v>
      </c>
    </row>
    <row r="6" spans="1:6" ht="99.95" customHeight="1" thickBot="1" x14ac:dyDescent="0.6">
      <c r="A6" s="117">
        <v>23</v>
      </c>
      <c r="B6" s="28" t="s">
        <v>201</v>
      </c>
      <c r="C6" s="28" t="s">
        <v>204</v>
      </c>
      <c r="D6" s="29" t="s">
        <v>325</v>
      </c>
      <c r="E6" s="28" t="s">
        <v>200</v>
      </c>
      <c r="F6" s="120">
        <v>8</v>
      </c>
    </row>
    <row r="7" spans="1:6" ht="99.95" customHeight="1" thickBot="1" x14ac:dyDescent="0.6">
      <c r="A7" s="118">
        <v>22</v>
      </c>
      <c r="B7" s="30" t="s">
        <v>207</v>
      </c>
      <c r="C7" s="30" t="s">
        <v>211</v>
      </c>
      <c r="D7" s="52" t="s">
        <v>213</v>
      </c>
      <c r="E7" s="30" t="s">
        <v>367</v>
      </c>
      <c r="F7" s="117">
        <v>9</v>
      </c>
    </row>
    <row r="8" spans="1:6" ht="99.95" customHeight="1" thickBot="1" x14ac:dyDescent="0.6">
      <c r="A8" s="117">
        <v>21</v>
      </c>
      <c r="B8" s="98" t="s">
        <v>241</v>
      </c>
      <c r="C8" s="124" t="s">
        <v>242</v>
      </c>
      <c r="D8" s="125"/>
      <c r="E8" s="126"/>
      <c r="F8" s="120">
        <v>10</v>
      </c>
    </row>
    <row r="9" spans="1:6" ht="99.95" customHeight="1" thickBot="1" x14ac:dyDescent="0.6">
      <c r="A9" s="118">
        <v>20</v>
      </c>
      <c r="B9" s="109" t="s">
        <v>207</v>
      </c>
      <c r="C9" s="28" t="s">
        <v>211</v>
      </c>
      <c r="D9" s="29" t="s">
        <v>213</v>
      </c>
      <c r="E9" s="110" t="s">
        <v>367</v>
      </c>
      <c r="F9" s="117">
        <v>11</v>
      </c>
    </row>
    <row r="10" spans="1:6" ht="99.95" customHeight="1" thickBot="1" x14ac:dyDescent="0.6">
      <c r="A10" s="117">
        <v>19</v>
      </c>
      <c r="B10" s="112" t="s">
        <v>215</v>
      </c>
      <c r="C10" s="113" t="s">
        <v>218</v>
      </c>
      <c r="D10" s="114" t="s">
        <v>347</v>
      </c>
      <c r="E10" s="113" t="s">
        <v>220</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734375" defaultRowHeight="15" customHeight="1" x14ac:dyDescent="0.2"/>
  <cols>
    <col min="1" max="1" width="19.7734375" style="53"/>
    <col min="2" max="2" width="19.7734375" style="65"/>
    <col min="4" max="4" width="19.7734375" style="53"/>
    <col min="6" max="6" width="19.7734375" style="53"/>
    <col min="8" max="8" width="19.7734375" style="53"/>
    <col min="10" max="10" width="19.7734375" style="53"/>
    <col min="12" max="12" width="19.7734375" style="53"/>
    <col min="14" max="14" width="19.7734375" style="53"/>
    <col min="16" max="16" width="19.7734375" style="53"/>
    <col min="18" max="18" width="19.7734375" style="53"/>
    <col min="20" max="20" width="19.7734375" style="53"/>
    <col min="22" max="22" width="19.7734375" style="53"/>
    <col min="24" max="24" width="19.7734375" style="53"/>
    <col min="26" max="26" width="19.7734375" style="53"/>
    <col min="28" max="28" width="19.7734375" style="53"/>
    <col min="30" max="30" width="19.7734375" style="71"/>
    <col min="31" max="32" width="19.7734375" style="53" bestFit="1" customWidth="1"/>
    <col min="33" max="33" width="19.7734375" bestFit="1" customWidth="1"/>
    <col min="34" max="34" width="19.7734375" style="53" bestFit="1" customWidth="1"/>
    <col min="35" max="35" width="19.7734375" bestFit="1" customWidth="1"/>
    <col min="36" max="36" width="19.7734375" style="53" bestFit="1" customWidth="1"/>
    <col min="37" max="37" width="19.7734375" bestFit="1" customWidth="1"/>
    <col min="38" max="38" width="19.7734375" style="53" bestFit="1" customWidth="1"/>
    <col min="39" max="39" width="19.7734375" bestFit="1" customWidth="1"/>
    <col min="40" max="40" width="19.7734375" style="53" bestFit="1" customWidth="1"/>
    <col min="41" max="41" width="19.7734375" customWidth="1"/>
    <col min="42" max="42" width="19.7734375" style="53" bestFit="1" customWidth="1"/>
    <col min="43" max="43" width="19.7734375" bestFit="1" customWidth="1"/>
    <col min="44" max="44" width="19.7734375" style="53" bestFit="1" customWidth="1"/>
    <col min="45" max="45" width="19.7734375" bestFit="1" customWidth="1"/>
    <col min="46" max="46" width="19.7734375" style="53" bestFit="1" customWidth="1"/>
    <col min="47" max="47" width="19.7734375" bestFit="1" customWidth="1"/>
    <col min="48" max="48" width="19.7734375" style="53" bestFit="1" customWidth="1"/>
    <col min="49" max="49" width="19.7734375" bestFit="1" customWidth="1"/>
    <col min="50" max="50" width="19.7734375" style="71" bestFit="1" customWidth="1"/>
    <col min="51" max="51" width="19.7734375" style="53" bestFit="1" customWidth="1"/>
    <col min="52" max="52" width="19.7734375" bestFit="1" customWidth="1"/>
    <col min="53" max="53" width="19.7734375" style="53" bestFit="1" customWidth="1"/>
    <col min="54" max="54" width="19.7734375" bestFit="1" customWidth="1"/>
    <col min="55" max="55" width="19.7734375" style="53" bestFit="1" customWidth="1"/>
    <col min="56" max="56" width="19.7734375" bestFit="1" customWidth="1"/>
    <col min="57" max="57" width="19.7734375" style="53" bestFit="1" customWidth="1"/>
    <col min="58" max="58" width="19.7734375" bestFit="1" customWidth="1"/>
    <col min="59" max="59" width="19.7734375" style="53" bestFit="1" customWidth="1"/>
    <col min="60" max="60" width="19.7734375" style="71" bestFit="1" customWidth="1"/>
    <col min="61" max="61" width="19.7734375" style="53"/>
    <col min="63" max="63" width="19.7734375" style="53"/>
    <col min="65" max="65" width="19.7734375" style="53"/>
    <col min="67" max="67" width="19.7734375" style="53"/>
    <col min="69" max="70" width="19.7734375" style="53"/>
    <col min="71" max="71" width="19.7734375" style="65"/>
    <col min="73" max="73" width="19.7734375" style="53"/>
    <col min="75" max="75" width="19.7734375" style="53"/>
    <col min="77" max="77" width="19.7734375" style="53"/>
    <col min="79" max="79" width="19.7734375" style="53"/>
  </cols>
  <sheetData>
    <row r="1" spans="1:79" s="69" customFormat="1" ht="39.950000000000003" customHeight="1" x14ac:dyDescent="0.3">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25">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Guard rolls. An unmodified 6 always succeeds.</v>
      </c>
      <c r="AB2" s="93" t="str">
        <f>Cards!C27</f>
        <v>Subtract $L3 from Scheme Card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Guard rolls. An unmodified 6 always succeeds.</v>
      </c>
      <c r="BP2" s="92" t="str">
        <f t="shared" si="2"/>
        <v>Subtract $L3 from Scheme Card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3">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25">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 &amp; Postpone</v>
      </c>
      <c r="N4" s="72" t="str">
        <f>Cards!E15</f>
        <v>No Player may deploy more than $L6 Troops or they will suffer sanctions on Petition &amp; Postpone</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 &amp; Postpone</v>
      </c>
      <c r="AT4" s="72" t="str">
        <f t="shared" si="5"/>
        <v>No Player may deploy more than $L6 Troops or they will suffer sanctions on Petition &amp; Postpone</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3">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81.75" thickBot="1" x14ac:dyDescent="0.25">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263</v>
      </c>
      <c r="C1" t="s">
        <v>264</v>
      </c>
      <c r="D1" t="s">
        <v>265</v>
      </c>
      <c r="E1" t="s">
        <v>266</v>
      </c>
      <c r="F1" t="s">
        <v>267</v>
      </c>
    </row>
    <row r="2" spans="1:6" x14ac:dyDescent="0.2">
      <c r="A2" t="s">
        <v>244</v>
      </c>
      <c r="B2">
        <f>30*2</f>
        <v>60</v>
      </c>
      <c r="C2" t="s">
        <v>268</v>
      </c>
      <c r="D2">
        <v>27.7</v>
      </c>
    </row>
    <row r="3" spans="1:6" x14ac:dyDescent="0.2">
      <c r="A3" t="s">
        <v>245</v>
      </c>
      <c r="B3">
        <f>34*2</f>
        <v>68</v>
      </c>
      <c r="C3" t="s">
        <v>268</v>
      </c>
      <c r="D3">
        <v>27.7</v>
      </c>
    </row>
    <row r="4" spans="1:6" x14ac:dyDescent="0.2">
      <c r="A4" t="s">
        <v>246</v>
      </c>
      <c r="B4">
        <f>18*3</f>
        <v>54</v>
      </c>
      <c r="C4" t="s">
        <v>268</v>
      </c>
      <c r="D4">
        <v>30.75</v>
      </c>
    </row>
    <row r="5" spans="1:6" x14ac:dyDescent="0.2">
      <c r="A5" t="s">
        <v>247</v>
      </c>
      <c r="B5">
        <f>2*6+6*6</f>
        <v>48</v>
      </c>
      <c r="C5" t="s">
        <v>271</v>
      </c>
    </row>
    <row r="6" spans="1:6" x14ac:dyDescent="0.2">
      <c r="A6" t="s">
        <v>259</v>
      </c>
      <c r="B6">
        <f>1*6+10*6</f>
        <v>66</v>
      </c>
      <c r="C6" t="s">
        <v>269</v>
      </c>
      <c r="E6" t="s">
        <v>270</v>
      </c>
    </row>
    <row r="7" spans="1:6" x14ac:dyDescent="0.2">
      <c r="A7" t="s">
        <v>248</v>
      </c>
      <c r="B7">
        <f>10*6+10</f>
        <v>70</v>
      </c>
      <c r="C7" t="s">
        <v>269</v>
      </c>
      <c r="E7" t="s">
        <v>274</v>
      </c>
    </row>
    <row r="8" spans="1:6" x14ac:dyDescent="0.2">
      <c r="A8" t="s">
        <v>249</v>
      </c>
      <c r="B8">
        <f>2*8*6</f>
        <v>96</v>
      </c>
      <c r="C8" t="s">
        <v>269</v>
      </c>
      <c r="E8" t="s">
        <v>274</v>
      </c>
    </row>
    <row r="9" spans="1:6" x14ac:dyDescent="0.2">
      <c r="A9" t="s">
        <v>250</v>
      </c>
      <c r="B9">
        <f>5*6</f>
        <v>30</v>
      </c>
      <c r="C9" t="s">
        <v>269</v>
      </c>
    </row>
    <row r="10" spans="1:6" x14ac:dyDescent="0.2">
      <c r="A10" t="s">
        <v>251</v>
      </c>
      <c r="B10">
        <f>5*6</f>
        <v>30</v>
      </c>
      <c r="C10" t="s">
        <v>269</v>
      </c>
      <c r="E10" t="s">
        <v>270</v>
      </c>
    </row>
    <row r="11" spans="1:6" x14ac:dyDescent="0.2">
      <c r="A11" t="s">
        <v>252</v>
      </c>
      <c r="B11">
        <f>(30*6-B10)/5</f>
        <v>30</v>
      </c>
      <c r="C11" t="s">
        <v>269</v>
      </c>
      <c r="E11" t="s">
        <v>270</v>
      </c>
    </row>
    <row r="12" spans="1:6" x14ac:dyDescent="0.2">
      <c r="A12" t="s">
        <v>253</v>
      </c>
      <c r="B12">
        <f>5*6</f>
        <v>30</v>
      </c>
      <c r="C12" t="s">
        <v>269</v>
      </c>
      <c r="E12" t="s">
        <v>271</v>
      </c>
    </row>
    <row r="13" spans="1:6" x14ac:dyDescent="0.2">
      <c r="A13" t="s">
        <v>254</v>
      </c>
      <c r="B13">
        <f>(15*6-B12)/5</f>
        <v>12</v>
      </c>
      <c r="C13" t="s">
        <v>269</v>
      </c>
      <c r="E13" t="s">
        <v>271</v>
      </c>
    </row>
    <row r="14" spans="1:6" x14ac:dyDescent="0.2">
      <c r="A14" t="s">
        <v>255</v>
      </c>
      <c r="B14">
        <v>1</v>
      </c>
      <c r="C14" t="s">
        <v>272</v>
      </c>
    </row>
    <row r="15" spans="1:6" x14ac:dyDescent="0.2">
      <c r="A15" t="s">
        <v>256</v>
      </c>
      <c r="B15">
        <v>1</v>
      </c>
      <c r="C15" t="s">
        <v>272</v>
      </c>
    </row>
    <row r="16" spans="1:6" x14ac:dyDescent="0.2">
      <c r="A16" t="s">
        <v>257</v>
      </c>
      <c r="B16">
        <v>1</v>
      </c>
      <c r="C16" t="s">
        <v>272</v>
      </c>
    </row>
    <row r="17" spans="1:3" x14ac:dyDescent="0.2">
      <c r="A17" t="s">
        <v>258</v>
      </c>
      <c r="B17">
        <v>6</v>
      </c>
      <c r="C17" t="s">
        <v>268</v>
      </c>
    </row>
    <row r="18" spans="1:3" x14ac:dyDescent="0.2">
      <c r="A18" t="s">
        <v>262</v>
      </c>
      <c r="B18">
        <f>10*6</f>
        <v>60</v>
      </c>
      <c r="C18" t="s">
        <v>273</v>
      </c>
    </row>
    <row r="19" spans="1:3" x14ac:dyDescent="0.2">
      <c r="A19" t="s">
        <v>261</v>
      </c>
      <c r="B19">
        <f>5*7</f>
        <v>35</v>
      </c>
      <c r="C19" t="s">
        <v>273</v>
      </c>
    </row>
    <row r="20" spans="1:3" x14ac:dyDescent="0.2">
      <c r="A20" t="s">
        <v>260</v>
      </c>
      <c r="B20">
        <f>5*7</f>
        <v>35</v>
      </c>
      <c r="C20" t="s">
        <v>273</v>
      </c>
    </row>
    <row r="21" spans="1:3" x14ac:dyDescent="0.2">
      <c r="A21" t="s">
        <v>275</v>
      </c>
      <c r="B21">
        <v>6</v>
      </c>
      <c r="C21" t="s">
        <v>276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zoomScaleNormal="60" zoomScaleSheetLayoutView="100" workbookViewId="0">
      <pane ySplit="1" topLeftCell="A2" activePane="bottomLeft" state="frozen"/>
      <selection activeCell="B1" sqref="B1"/>
      <selection pane="bottomLeft" activeCell="I11" sqref="I11"/>
    </sheetView>
  </sheetViews>
  <sheetFormatPr defaultRowHeight="15" x14ac:dyDescent="0.2"/>
  <cols>
    <col min="1" max="1" width="23.9453125" style="95"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9" width="11.43359375" style="97" bestFit="1" customWidth="1"/>
    <col min="10" max="10" width="10.22265625" style="97" bestFit="1" customWidth="1"/>
    <col min="11" max="11" width="11.43359375" style="97" bestFit="1" customWidth="1"/>
    <col min="12" max="19" width="11.8359375" style="97" bestFit="1" customWidth="1"/>
    <col min="20" max="20" width="12.9140625" style="97" bestFit="1" customWidth="1"/>
    <col min="21" max="21" width="12.5078125" bestFit="1" customWidth="1"/>
  </cols>
  <sheetData>
    <row r="1" spans="1:21" x14ac:dyDescent="0.2">
      <c r="A1" t="s">
        <v>328</v>
      </c>
      <c r="B1" t="s">
        <v>329</v>
      </c>
      <c r="C1" t="s">
        <v>330</v>
      </c>
      <c r="D1" t="s">
        <v>331</v>
      </c>
      <c r="E1" t="s">
        <v>332</v>
      </c>
      <c r="F1" t="s">
        <v>358</v>
      </c>
      <c r="G1" t="s">
        <v>357</v>
      </c>
      <c r="H1" t="s">
        <v>333</v>
      </c>
      <c r="I1" t="s">
        <v>334</v>
      </c>
      <c r="J1" s="97" t="s">
        <v>355</v>
      </c>
      <c r="K1" t="s">
        <v>335</v>
      </c>
      <c r="L1" t="s">
        <v>336</v>
      </c>
      <c r="M1" t="s">
        <v>337</v>
      </c>
      <c r="N1" t="s">
        <v>338</v>
      </c>
      <c r="O1" t="s">
        <v>339</v>
      </c>
      <c r="P1" t="s">
        <v>340</v>
      </c>
      <c r="Q1" t="s">
        <v>341</v>
      </c>
      <c r="R1" t="s">
        <v>342</v>
      </c>
      <c r="S1" t="s">
        <v>343</v>
      </c>
      <c r="T1" t="s">
        <v>344</v>
      </c>
      <c r="U1" t="s">
        <v>356</v>
      </c>
    </row>
    <row r="2" spans="1:21" x14ac:dyDescent="0.2">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
      <c r="A11" s="95">
        <v>46158</v>
      </c>
      <c r="B11">
        <v>5</v>
      </c>
      <c r="C11" s="96" t="b">
        <v>0</v>
      </c>
      <c r="D11" s="96" t="b">
        <v>0</v>
      </c>
      <c r="E11">
        <v>12</v>
      </c>
      <c r="F11">
        <v>24</v>
      </c>
      <c r="G11">
        <v>12</v>
      </c>
      <c r="H11" s="97">
        <v>0.84236111111111112</v>
      </c>
      <c r="I11" s="97">
        <v>0.99236111111111114</v>
      </c>
      <c r="J11" s="97">
        <v>0.85902777777777772</v>
      </c>
      <c r="K11" s="97">
        <v>0.87222222222222223</v>
      </c>
      <c r="L11" s="97">
        <v>0.88958333333333328</v>
      </c>
      <c r="M11" s="97">
        <v>0.90625</v>
      </c>
      <c r="N11" s="97">
        <v>0.92708333333333337</v>
      </c>
      <c r="O11" s="97">
        <v>0.95833333333333337</v>
      </c>
      <c r="P11" s="97">
        <v>0.98888888888888893</v>
      </c>
      <c r="U11" s="97">
        <v>0.99236111111111114</v>
      </c>
    </row>
    <row r="12" spans="1:21" x14ac:dyDescent="0.2">
      <c r="C12" s="96" t="b">
        <v>0</v>
      </c>
      <c r="D12" s="96" t="b">
        <v>0</v>
      </c>
    </row>
    <row r="13" spans="1:21" x14ac:dyDescent="0.2">
      <c r="C13" s="96" t="b">
        <v>0</v>
      </c>
      <c r="D13" s="96" t="b">
        <v>0</v>
      </c>
    </row>
    <row r="14" spans="1:21" x14ac:dyDescent="0.2">
      <c r="C14" s="96" t="b">
        <v>0</v>
      </c>
      <c r="D14" s="96" t="b">
        <v>0</v>
      </c>
    </row>
    <row r="15" spans="1:21" x14ac:dyDescent="0.2">
      <c r="C15" s="96" t="b">
        <v>0</v>
      </c>
      <c r="D15" s="96" t="b">
        <v>0</v>
      </c>
    </row>
    <row r="16" spans="1:21" x14ac:dyDescent="0.2">
      <c r="C16" s="96" t="b">
        <v>0</v>
      </c>
      <c r="D16" s="96" t="b">
        <v>0</v>
      </c>
    </row>
    <row r="17" spans="3:4" x14ac:dyDescent="0.2">
      <c r="C17" s="96" t="b">
        <v>0</v>
      </c>
      <c r="D17" s="96" t="b">
        <v>0</v>
      </c>
    </row>
    <row r="18" spans="3:4" x14ac:dyDescent="0.2">
      <c r="C18" s="96" t="b">
        <v>0</v>
      </c>
      <c r="D18" s="96" t="b">
        <v>0</v>
      </c>
    </row>
    <row r="19" spans="3:4" x14ac:dyDescent="0.2">
      <c r="C19" s="96" t="b">
        <v>0</v>
      </c>
      <c r="D19" s="96" t="b">
        <v>0</v>
      </c>
    </row>
    <row r="20" spans="3:4" x14ac:dyDescent="0.2">
      <c r="C20" s="96" t="b">
        <v>0</v>
      </c>
      <c r="D20" s="96" t="b">
        <v>0</v>
      </c>
    </row>
    <row r="21" spans="3:4" x14ac:dyDescent="0.2">
      <c r="C21" s="96" t="b">
        <v>0</v>
      </c>
      <c r="D21" s="96" t="b">
        <v>0</v>
      </c>
    </row>
    <row r="22" spans="3:4" x14ac:dyDescent="0.2">
      <c r="C22" s="96" t="b">
        <v>0</v>
      </c>
      <c r="D22" s="96" t="b">
        <v>0</v>
      </c>
    </row>
    <row r="23" spans="3:4" x14ac:dyDescent="0.2">
      <c r="C23" s="96" t="b">
        <v>0</v>
      </c>
      <c r="D23" s="96" t="b">
        <v>0</v>
      </c>
    </row>
    <row r="24" spans="3:4" x14ac:dyDescent="0.2">
      <c r="C24" s="96" t="b">
        <v>0</v>
      </c>
      <c r="D24" s="96" t="b">
        <v>0</v>
      </c>
    </row>
    <row r="25" spans="3:4" x14ac:dyDescent="0.2">
      <c r="C25" s="96" t="b">
        <v>0</v>
      </c>
      <c r="D25" s="96" t="b">
        <v>0</v>
      </c>
    </row>
    <row r="26" spans="3:4" x14ac:dyDescent="0.2">
      <c r="C26" s="96" t="b">
        <v>0</v>
      </c>
      <c r="D26" s="96" t="b">
        <v>0</v>
      </c>
    </row>
    <row r="27" spans="3:4" x14ac:dyDescent="0.2">
      <c r="C27" s="96" t="b">
        <v>0</v>
      </c>
      <c r="D27" s="96" t="b">
        <v>0</v>
      </c>
    </row>
    <row r="28" spans="3:4" x14ac:dyDescent="0.2">
      <c r="C28" s="96" t="b">
        <v>0</v>
      </c>
      <c r="D28" s="96" t="b">
        <v>0</v>
      </c>
    </row>
    <row r="29" spans="3:4" x14ac:dyDescent="0.2">
      <c r="C29" s="96" t="b">
        <v>0</v>
      </c>
      <c r="D29" s="96" t="b">
        <v>0</v>
      </c>
    </row>
    <row r="30" spans="3:4" x14ac:dyDescent="0.2">
      <c r="C30" s="96" t="b">
        <v>0</v>
      </c>
      <c r="D30" s="96" t="b">
        <v>0</v>
      </c>
    </row>
    <row r="31" spans="3:4" x14ac:dyDescent="0.2">
      <c r="C31" s="96" t="b">
        <v>0</v>
      </c>
      <c r="D31" s="96" t="b">
        <v>0</v>
      </c>
    </row>
    <row r="32" spans="3:4" x14ac:dyDescent="0.2">
      <c r="C32" s="96" t="b">
        <v>0</v>
      </c>
      <c r="D32" s="96" t="b">
        <v>0</v>
      </c>
    </row>
    <row r="33" spans="3:4" x14ac:dyDescent="0.2">
      <c r="C33" s="96" t="b">
        <v>0</v>
      </c>
      <c r="D33" s="96" t="b">
        <v>0</v>
      </c>
    </row>
    <row r="34" spans="3:4" x14ac:dyDescent="0.2">
      <c r="C34" s="96" t="b">
        <v>0</v>
      </c>
      <c r="D34" s="96" t="b">
        <v>0</v>
      </c>
    </row>
    <row r="35" spans="3:4" x14ac:dyDescent="0.2">
      <c r="C35" s="96" t="b">
        <v>0</v>
      </c>
      <c r="D35" s="96" t="b">
        <v>0</v>
      </c>
    </row>
    <row r="36" spans="3:4" x14ac:dyDescent="0.2">
      <c r="C36" s="96" t="b">
        <v>0</v>
      </c>
      <c r="D36" s="96" t="b">
        <v>0</v>
      </c>
    </row>
    <row r="37" spans="3:4" x14ac:dyDescent="0.2">
      <c r="C37" s="96" t="b">
        <v>0</v>
      </c>
      <c r="D37" s="96" t="b">
        <v>0</v>
      </c>
    </row>
    <row r="38" spans="3:4" x14ac:dyDescent="0.2">
      <c r="C38" s="96" t="b">
        <v>0</v>
      </c>
      <c r="D38" s="96" t="b">
        <v>0</v>
      </c>
    </row>
    <row r="39" spans="3:4" x14ac:dyDescent="0.2">
      <c r="C39" s="96" t="b">
        <v>0</v>
      </c>
      <c r="D39" s="96" t="b">
        <v>0</v>
      </c>
    </row>
    <row r="40" spans="3:4" x14ac:dyDescent="0.2">
      <c r="C40" s="96" t="b">
        <v>0</v>
      </c>
      <c r="D40" s="96" t="b">
        <v>0</v>
      </c>
    </row>
    <row r="41" spans="3:4" x14ac:dyDescent="0.2">
      <c r="C41" s="96" t="b">
        <v>0</v>
      </c>
      <c r="D41" s="96" t="b">
        <v>0</v>
      </c>
    </row>
    <row r="42" spans="3:4" x14ac:dyDescent="0.2">
      <c r="C42" s="96" t="b">
        <v>0</v>
      </c>
      <c r="D42" s="96" t="b">
        <v>0</v>
      </c>
    </row>
    <row r="43" spans="3:4" x14ac:dyDescent="0.2">
      <c r="C43" s="96" t="b">
        <v>0</v>
      </c>
      <c r="D43" s="96" t="b">
        <v>0</v>
      </c>
    </row>
    <row r="44" spans="3:4" x14ac:dyDescent="0.2">
      <c r="C44" s="96" t="b">
        <v>0</v>
      </c>
      <c r="D44" s="96" t="b">
        <v>0</v>
      </c>
    </row>
    <row r="45" spans="3:4" x14ac:dyDescent="0.2">
      <c r="C45" s="96" t="b">
        <v>0</v>
      </c>
      <c r="D45" s="96" t="b">
        <v>0</v>
      </c>
    </row>
    <row r="46" spans="3:4" x14ac:dyDescent="0.2">
      <c r="C46" s="96" t="b">
        <v>0</v>
      </c>
      <c r="D46" s="96" t="b">
        <v>0</v>
      </c>
    </row>
    <row r="47" spans="3:4" x14ac:dyDescent="0.2">
      <c r="C47" s="96" t="b">
        <v>0</v>
      </c>
      <c r="D47" s="96" t="b">
        <v>0</v>
      </c>
    </row>
    <row r="48" spans="3:4" x14ac:dyDescent="0.2">
      <c r="C48" s="96" t="b">
        <v>0</v>
      </c>
      <c r="D48" s="96" t="b">
        <v>0</v>
      </c>
    </row>
    <row r="49" spans="3:4" x14ac:dyDescent="0.2">
      <c r="C49" s="96" t="b">
        <v>0</v>
      </c>
      <c r="D49" s="96" t="b">
        <v>0</v>
      </c>
    </row>
    <row r="50" spans="3:4" x14ac:dyDescent="0.2">
      <c r="C50" s="96" t="b">
        <v>0</v>
      </c>
      <c r="D50" s="96" t="b">
        <v>0</v>
      </c>
    </row>
    <row r="51" spans="3:4" x14ac:dyDescent="0.2">
      <c r="C51" s="96" t="b">
        <v>0</v>
      </c>
      <c r="D51" s="96" t="b">
        <v>0</v>
      </c>
    </row>
    <row r="52" spans="3:4" x14ac:dyDescent="0.2">
      <c r="C52" s="96" t="b">
        <v>0</v>
      </c>
      <c r="D52" s="96" t="b">
        <v>0</v>
      </c>
    </row>
    <row r="53" spans="3:4" x14ac:dyDescent="0.2">
      <c r="C53" s="96" t="b">
        <v>0</v>
      </c>
      <c r="D53" s="96" t="b">
        <v>0</v>
      </c>
    </row>
    <row r="54" spans="3:4" x14ac:dyDescent="0.2">
      <c r="C54" s="96" t="b">
        <v>0</v>
      </c>
      <c r="D54" s="96" t="b">
        <v>0</v>
      </c>
    </row>
    <row r="55" spans="3:4" x14ac:dyDescent="0.2">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2026-04-22T00:27:10Z</dcterms:modified>
  <cp:category/>
  <cp:contentStatus/>
</cp:coreProperties>
</file>