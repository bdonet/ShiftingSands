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361" documentId="11_0B1D56BE9CDCCE836B02CE7A5FB0D4A9BBFD1C62" xr6:coauthVersionLast="47" xr6:coauthVersionMax="47" xr10:uidLastSave="{814644E0-E163-4C0A-B310-8877049B5630}"/>
  <bookViews>
    <workbookView xWindow="-105" yWindow="0" windowWidth="19410" windowHeight="20985" activeTab="2"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H1" i="7"/>
  <c r="AV1" i="7"/>
  <c r="G1" i="7"/>
  <c r="A1" i="7"/>
  <c r="AO1" i="7"/>
  <c r="B1" i="7"/>
  <c r="AP1" i="7"/>
  <c r="C1" i="7"/>
  <c r="AQ1" i="7"/>
  <c r="D1" i="7"/>
  <c r="AR1" i="7"/>
  <c r="E1" i="7"/>
  <c r="AS1" i="7"/>
  <c r="F1" i="7"/>
  <c r="AT1" i="7"/>
  <c r="AU1" i="7"/>
  <c r="I1" i="7"/>
  <c r="AW1" i="7"/>
  <c r="J1" i="7"/>
  <c r="AX1" i="7"/>
  <c r="K1" i="7"/>
  <c r="AY1" i="7"/>
  <c r="L1" i="7"/>
  <c r="AZ1" i="7"/>
  <c r="M1" i="7"/>
  <c r="BA1" i="7"/>
  <c r="N1" i="7"/>
  <c r="BB1" i="7"/>
  <c r="O1" i="7"/>
  <c r="BC1" i="7"/>
  <c r="P1" i="7"/>
  <c r="BD1" i="7"/>
  <c r="Q1" i="7"/>
  <c r="BE1" i="7"/>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AU2" i="7"/>
  <c r="AV2" i="7"/>
  <c r="I2" i="7"/>
  <c r="AW2" i="7"/>
  <c r="J2" i="7"/>
  <c r="AX2" i="7"/>
  <c r="K2" i="7"/>
  <c r="AY2" i="7"/>
  <c r="L2" i="7"/>
  <c r="AZ2" i="7"/>
  <c r="M2" i="7"/>
  <c r="BA2" i="7"/>
  <c r="N2" i="7"/>
  <c r="BB2" i="7"/>
  <c r="O2" i="7"/>
  <c r="BC2" i="7"/>
  <c r="P2" i="7"/>
  <c r="BD2" i="7"/>
  <c r="Q2" i="7"/>
  <c r="BE2" i="7"/>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AQ5" i="7"/>
  <c r="B5" i="7"/>
  <c r="AR5" i="7"/>
  <c r="C5" i="7"/>
  <c r="AS5" i="7"/>
  <c r="D5" i="7"/>
  <c r="AT5" i="7"/>
  <c r="E5" i="7"/>
  <c r="AU5" i="7"/>
  <c r="F5" i="7"/>
  <c r="AV5" i="7"/>
  <c r="G5" i="7"/>
  <c r="AW5" i="7"/>
  <c r="H5" i="7"/>
  <c r="AX5" i="7"/>
  <c r="I5" i="7"/>
  <c r="AY5" i="7"/>
  <c r="J5" i="7"/>
  <c r="AZ5" i="7"/>
  <c r="K5" i="7"/>
  <c r="BA5" i="7"/>
  <c r="L5" i="7"/>
  <c r="BB5" i="7"/>
  <c r="M5" i="7"/>
  <c r="BC5" i="7"/>
  <c r="N5" i="7"/>
  <c r="BD5" i="7"/>
  <c r="O5" i="7"/>
  <c r="BE5" i="7"/>
  <c r="P5" i="7"/>
  <c r="BF5" i="7"/>
  <c r="Q5" i="7"/>
  <c r="BG5" i="7"/>
  <c r="R5" i="7"/>
  <c r="BH5" i="7"/>
  <c r="S5" i="7"/>
  <c r="BI5" i="7"/>
  <c r="T5" i="7"/>
  <c r="BJ5" i="7"/>
  <c r="U5" i="7"/>
  <c r="BK5" i="7"/>
  <c r="A6" i="7"/>
  <c r="AQ6" i="7"/>
  <c r="B6" i="7"/>
  <c r="AR6" i="7"/>
  <c r="C6" i="7"/>
  <c r="AS6" i="7"/>
  <c r="D6" i="7"/>
  <c r="AT6" i="7"/>
  <c r="E6" i="7"/>
  <c r="AU6" i="7"/>
  <c r="F6" i="7"/>
  <c r="AV6" i="7"/>
  <c r="G6" i="7"/>
  <c r="AW6" i="7"/>
  <c r="H6" i="7"/>
  <c r="AX6" i="7"/>
  <c r="I6" i="7"/>
  <c r="AY6" i="7"/>
  <c r="J6" i="7"/>
  <c r="AZ6" i="7"/>
  <c r="K6" i="7"/>
  <c r="BA6" i="7"/>
  <c r="L6" i="7"/>
  <c r="BB6" i="7"/>
  <c r="M6" i="7"/>
  <c r="BC6" i="7"/>
  <c r="N6" i="7"/>
  <c r="BD6" i="7"/>
  <c r="O6" i="7"/>
  <c r="BE6" i="7"/>
  <c r="P6" i="7"/>
  <c r="BF6" i="7"/>
  <c r="Q6" i="7"/>
  <c r="BG6" i="7"/>
  <c r="R6" i="7"/>
  <c r="BH6" i="7"/>
  <c r="S6" i="7"/>
  <c r="BI6" i="7"/>
  <c r="T6" i="7"/>
  <c r="BJ6" i="7"/>
  <c r="U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alcChain>
</file>

<file path=xl/sharedStrings.xml><?xml version="1.0" encoding="utf-8"?>
<sst xmlns="http://schemas.openxmlformats.org/spreadsheetml/2006/main" count="633" uniqueCount="472">
  <si>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</si>
  <si>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</si>
  <si>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</si>
  <si>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</si>
  <si>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</si>
  <si>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</si>
  <si>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</si>
  <si>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</si>
  <si>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</si>
  <si>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</si>
  <si>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</si>
  <si>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</si>
  <si>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</si>
  <si>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</si>
  <si>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</si>
  <si>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</si>
  <si>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</si>
  <si>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</si>
  <si>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</si>
  <si>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</si>
  <si>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</si>
  <si>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</si>
  <si>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</si>
  <si>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</si>
  <si>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</si>
  <si>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</si>
  <si>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</si>
  <si>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</si>
  <si>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</si>
  <si>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</si>
  <si>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</si>
  <si>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</si>
  <si>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</si>
  <si>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</si>
  <si>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</si>
  <si>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</si>
  <si>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</si>
  <si>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</si>
  <si>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</si>
  <si>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</si>
  <si>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</si>
  <si>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</si>
  <si>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</si>
  <si>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</si>
  <si>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</si>
  <si>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</si>
  <si>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</si>
  <si>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</si>
  <si>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</si>
  <si>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</si>
  <si>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</si>
  <si>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</si>
  <si>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</si>
  <si>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</si>
  <si>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</si>
  <si>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</si>
  <si>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</si>
  <si>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</si>
  <si>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</si>
  <si>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AS</t>
  </si>
  <si>
    <t>Genius Commanders</t>
  </si>
  <si>
    <t>Draw $L6 additional cards from any decks during Brainstorm</t>
  </si>
  <si>
    <t>Home Defense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</si>
  <si>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</si>
  <si>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</si>
  <si>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</si>
  <si>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</si>
  <si>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</si>
  <si>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</si>
  <si>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</si>
  <si>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</si>
  <si>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</si>
  <si>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</si>
  <si>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</si>
  <si>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</si>
  <si>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</si>
  <si>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</si>
  <si>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</si>
  <si>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</si>
  <si>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</si>
  <si>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</si>
  <si>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</si>
  <si>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</si>
  <si>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7S</t>
  </si>
  <si>
    <t>Elite Troops</t>
  </si>
  <si>
    <t>Gain $L3 additional Coins from the Royal Bank when Deploying Troops</t>
  </si>
  <si>
    <t>Environmental Guardians</t>
  </si>
  <si>
    <t>8S</t>
  </si>
  <si>
    <t>Bazaar</t>
  </si>
  <si>
    <t>Provides private Buy Action at Market Rate + $L3</t>
  </si>
  <si>
    <t>Resilient Officer Corps</t>
  </si>
  <si>
    <t>9S</t>
  </si>
  <si>
    <t>Caravansaray</t>
  </si>
  <si>
    <t>Provides private Sell Action at Market Rate - $L3</t>
  </si>
  <si>
    <t>Bloated Bureaucracy</t>
  </si>
  <si>
    <t>10S</t>
  </si>
  <si>
    <t>War Machines</t>
  </si>
  <si>
    <t>Purchase and immediately add up to $L3 Troops to your force when deploying them</t>
  </si>
  <si>
    <t>Police Force</t>
  </si>
  <si>
    <t>JS</t>
  </si>
  <si>
    <t>Equal Partners</t>
  </si>
  <si>
    <t>QS</t>
  </si>
  <si>
    <t>Criminal Identification</t>
  </si>
  <si>
    <t>KS</t>
  </si>
  <si>
    <t>Eager Laborers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</si>
  <si>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</si>
  <si>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</si>
  <si>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</si>
  <si>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</si>
  <si>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</si>
  <si>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</si>
  <si>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</si>
  <si>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</si>
  <si>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</si>
  <si>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</si>
  <si>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</si>
  <si>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</si>
  <si>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4D</t>
  </si>
  <si>
    <t>Expert Broker</t>
  </si>
  <si>
    <t>Spend $L3 fewer Commodities per Coin when Selling to the Court</t>
  </si>
  <si>
    <t>Worthless Procrastinators</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</si>
  <si>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</si>
  <si>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</si>
  <si>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</si>
  <si>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</si>
  <si>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</si>
  <si>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</si>
  <si>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</si>
  <si>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</si>
  <si>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</si>
  <si>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</si>
  <si>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</si>
  <si>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</si>
  <si>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</si>
  <si>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</si>
  <si>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</si>
  <si>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</si>
  <si>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</si>
  <si>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</si>
  <si>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</si>
  <si>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</si>
  <si>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</si>
  <si>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</si>
  <si>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</si>
  <si>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</si>
  <si>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</si>
  <si>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</si>
  <si>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</si>
  <si>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</si>
  <si>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</si>
  <si>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</si>
  <si>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</si>
  <si>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</si>
  <si>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</si>
  <si>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</si>
  <si>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</si>
  <si>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</si>
  <si>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</si>
  <si>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</si>
  <si>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</si>
  <si>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</si>
  <si>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</si>
  <si>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</si>
  <si>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</si>
  <si>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</si>
  <si>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</si>
  <si>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</si>
  <si>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</si>
  <si>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</si>
  <si>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</si>
  <si>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</si>
  <si>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</si>
  <si>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</si>
  <si>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</si>
  <si>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</si>
  <si>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</si>
  <si>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</si>
  <si>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</si>
  <si>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</si>
  <si>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</si>
  <si>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</si>
  <si>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</si>
  <si>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</si>
  <si>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</si>
  <si>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</si>
  <si>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</si>
  <si>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</si>
  <si>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</si>
  <si>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</si>
  <si>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</si>
  <si>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</si>
  <si>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</si>
  <si>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</si>
  <si>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</si>
  <si>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</si>
  <si>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</si>
  <si>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</si>
  <si>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</si>
  <si>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</si>
  <si>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</si>
  <si>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</si>
  <si>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</si>
  <si>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</si>
  <si>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</si>
  <si>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</si>
  <si>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</si>
  <si>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</si>
  <si>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</si>
  <si>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</si>
  <si>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</si>
  <si>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</si>
  <si>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</si>
  <si>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</si>
  <si>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</si>
  <si>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</si>
  <si>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</si>
  <si>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</si>
  <si>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</si>
  <si>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</si>
  <si>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</si>
  <si>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</si>
  <si>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</si>
  <si>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</si>
  <si>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</si>
  <si>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</si>
  <si>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</si>
  <si>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</si>
  <si>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</si>
  <si>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</si>
  <si>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</si>
  <si>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</si>
  <si>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</si>
  <si>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</si>
  <si>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</si>
  <si>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</si>
  <si>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</si>
  <si>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</si>
  <si>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</si>
  <si>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</si>
  <si>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</si>
  <si>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</si>
  <si>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</si>
  <si>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</si>
  <si>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</si>
  <si>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</si>
  <si>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</si>
  <si>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</si>
  <si>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</si>
  <si>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</si>
  <si>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</si>
  <si>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</si>
  <si>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</si>
  <si>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</si>
  <si>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</si>
  <si>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</si>
  <si>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</si>
  <si>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</si>
  <si>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</si>
  <si>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</si>
  <si>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</si>
  <si>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</si>
  <si>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</si>
  <si>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</si>
  <si>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</si>
  <si>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</si>
  <si>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</si>
  <si>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</si>
  <si>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</si>
  <si>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</si>
  <si>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</si>
  <si>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</si>
  <si>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</si>
  <si>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</si>
  <si>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</si>
  <si>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</si>
  <si>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</si>
  <si>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</si>
  <si>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</si>
  <si>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</si>
  <si>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</si>
  <si>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</si>
  <si>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</si>
  <si>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</si>
  <si>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</si>
  <si>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</si>
  <si>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</si>
  <si>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</si>
  <si>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</si>
  <si>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</si>
  <si>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</si>
  <si>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</si>
  <si>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</si>
  <si>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</si>
  <si>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</si>
  <si>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</si>
  <si>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</si>
  <si>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</si>
  <si>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</si>
  <si>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</si>
  <si>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</si>
  <si>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</si>
  <si>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</si>
  <si>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</si>
  <si>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</si>
  <si>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</si>
  <si>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</si>
  <si>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</si>
  <si>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</si>
  <si>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</si>
  <si>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</si>
  <si>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</si>
  <si>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</si>
  <si>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</si>
  <si>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</si>
  <si>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</si>
  <si>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</si>
  <si>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</si>
  <si>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</si>
  <si>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</si>
  <si>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</si>
  <si>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</si>
  <si>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</si>
  <si>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</si>
  <si>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</si>
  <si>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</si>
  <si>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</si>
  <si>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</si>
  <si>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</si>
  <si>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</si>
  <si>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</si>
  <si>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</si>
  <si>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</si>
  <si>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</si>
  <si>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</si>
  <si>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</si>
  <si>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</si>
  <si>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</si>
  <si>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</si>
  <si>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</si>
  <si>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</si>
  <si>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</si>
  <si>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</si>
  <si>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</si>
  <si>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</si>
  <si>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</si>
  <si>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</si>
  <si>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</si>
  <si>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</si>
  <si>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</si>
  <si>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</si>
  <si>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</si>
  <si>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</si>
  <si>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</si>
  <si>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</si>
  <si>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</si>
  <si>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</si>
  <si>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</si>
  <si>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</si>
  <si>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</si>
  <si>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</si>
  <si>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</si>
  <si>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</si>
  <si>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</si>
  <si>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</si>
  <si>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</si>
  <si>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</si>
  <si>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</si>
  <si>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</si>
  <si>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</si>
  <si>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</si>
  <si>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</si>
  <si>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</si>
  <si>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</si>
  <si>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</si>
  <si>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</si>
  <si>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</si>
  <si>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</si>
  <si>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</si>
  <si>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</si>
  <si>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</si>
  <si>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</si>
  <si>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</si>
  <si>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</si>
  <si>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</si>
  <si>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</si>
  <si>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</si>
  <si>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</si>
  <si>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</si>
  <si>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</si>
  <si>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</si>
  <si>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</si>
  <si>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</si>
  <si>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</si>
  <si>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</si>
  <si>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</si>
  <si>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</si>
  <si>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</si>
  <si>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</si>
  <si>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</si>
  <si>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</si>
  <si>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</si>
  <si>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</si>
  <si>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</si>
  <si>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</si>
  <si>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</si>
  <si>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</si>
  <si>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</si>
  <si>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</si>
  <si>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</si>
  <si>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</si>
  <si>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</si>
  <si>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</si>
  <si>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</si>
  <si>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</si>
  <si>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</si>
  <si>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</si>
  <si>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</si>
  <si>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</si>
  <si>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</si>
  <si>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</si>
  <si>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</si>
  <si>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</si>
  <si>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</si>
  <si>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</si>
  <si>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</si>
  <si>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</si>
  <si>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</si>
  <si>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</si>
  <si>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</si>
  <si>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</si>
  <si>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</si>
  <si>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</si>
  <si>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</si>
  <si>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</si>
  <si>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</si>
  <si>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</si>
  <si>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</si>
  <si>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</si>
  <si>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</si>
  <si>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</si>
  <si>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</si>
  <si>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</si>
  <si>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</si>
  <si>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</si>
  <si>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</si>
  <si>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</si>
  <si>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</si>
  <si>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</si>
  <si>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</si>
  <si>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</si>
  <si>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Each Player must Collect at least $L6 Commodities this round or they will suffer sanctions on Recruit</t>
  </si>
  <si>
    <t>No Player may Collect more than $L6 Commodities this round or they will suffer sanctions on Recruit</t>
  </si>
  <si>
    <t>Each Player must have at least $L6 Troops or they will suffer sanctions on Collect</t>
  </si>
  <si>
    <t>Collect $L6 additional Commodities during Collect</t>
  </si>
  <si>
    <t>No Player may have more than $L6 Troops or they will suffer sanctions on Collect</t>
  </si>
  <si>
    <t>Collect 4 Commodities</t>
  </si>
  <si>
    <t>Persian
Troops</t>
  </si>
  <si>
    <t>Each Player must Deploy at least $L6 Troops or they will suffer sanctions on Donate</t>
  </si>
  <si>
    <t>No Player may Deploy more than $L6 Troops or they will suffer sanctions on Donate</t>
  </si>
  <si>
    <t>Each Player must have at least $L6 Cards of each type in hand or they will suffer sanctions on Monetize</t>
  </si>
  <si>
    <t>No Player may have more than $L6 Cards of each type in their hand or they will suffer sanctions on Monetize</t>
  </si>
  <si>
    <t>Mock Trials</t>
  </si>
  <si>
    <t>You may repeat $L3 Court Actions per round</t>
  </si>
  <si>
    <t>Inspiring Command</t>
  </si>
  <si>
    <t xml:space="preserve">You may repeat Provincial Actions with level 7 - $L6 (or higher) Leaders </t>
  </si>
  <si>
    <t>No Player may have more than 3 + $L6 Leaders or they will suffer sanctions on Build &amp; Upgrade</t>
  </si>
  <si>
    <t>Each Player must deploy at least $L6 Troops or they will suffer sanctions on Petition</t>
  </si>
  <si>
    <t>No Player may deploy more than $L6 Troops or they will suffer sanctions on Petition</t>
  </si>
  <si>
    <t>Each Player must Donate at least $L6 Coins or they will suffer sanctions on Postpone &amp; Prioritize</t>
  </si>
  <si>
    <t>No Player may Donate more than $L6 Coins or they will suffer sanctions on Postpone &amp; Prioritize</t>
  </si>
  <si>
    <t>Centralized Economy</t>
  </si>
  <si>
    <t>Partisan Contributions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</si>
</sst>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30">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2" fillId="0" borderId="0" xfId="0" applyFont="1"/>
    <xf numFmtId="0" fontId="2" fillId="0" borderId="27"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9" xfId="0" applyFont="1" applyBorder="1" applyAlignment="1">
      <alignment horizontal="center" vertical="center" wrapText="1"/>
    </xf>
    <xf numFmtId="0" fontId="2"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2" fillId="2" borderId="29" xfId="0" applyFont="1" applyFill="1" applyBorder="1" applyAlignment="1">
      <alignment horizontal="left" vertical="center" wrapText="1"/>
    </xf>
    <xf numFmtId="0" fontId="0" fillId="0" borderId="27" xfId="0" applyBorder="1"/>
    <xf numFmtId="0" fontId="4" fillId="0" borderId="17"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5" fillId="0" borderId="26" xfId="0" applyFont="1" applyBorder="1" applyAlignment="1">
      <alignment horizontal="center" vertical="top" wrapText="1"/>
    </xf>
    <xf numFmtId="0" fontId="5" fillId="0" borderId="20" xfId="0" applyFont="1" applyBorder="1" applyAlignment="1">
      <alignment horizontal="center" vertical="top" wrapText="1"/>
    </xf>
    <xf numFmtId="0" fontId="5" fillId="0" borderId="19" xfId="0" applyFont="1" applyBorder="1" applyAlignment="1">
      <alignment horizontal="center" vertical="top" wrapText="1"/>
    </xf>
    <xf numFmtId="0" fontId="5"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5" fillId="0" borderId="27" xfId="0" applyFont="1" applyBorder="1" applyAlignment="1">
      <alignment horizontal="center" vertical="top" wrapText="1"/>
    </xf>
    <xf numFmtId="0" fontId="5" fillId="0" borderId="22" xfId="0" applyFont="1" applyBorder="1" applyAlignment="1">
      <alignment horizontal="center" vertical="top" wrapText="1"/>
    </xf>
    <xf numFmtId="0" fontId="5" fillId="0" borderId="0" xfId="0" applyFont="1" applyAlignment="1">
      <alignment horizontal="center" vertical="top" wrapText="1"/>
    </xf>
    <xf numFmtId="0" fontId="5"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4" fillId="0" borderId="26" xfId="0" applyFont="1" applyBorder="1" applyAlignment="1">
      <alignment horizontal="center" vertical="center"/>
    </xf>
    <xf numFmtId="0" fontId="4" fillId="0" borderId="46" xfId="0" applyFont="1" applyBorder="1" applyAlignment="1">
      <alignment horizontal="center"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2" fillId="0" borderId="46" xfId="0" applyFont="1" applyBorder="1" applyAlignment="1">
      <alignment horizontal="center" vertical="center" wrapText="1"/>
    </xf>
    <xf numFmtId="0" fontId="2" fillId="0" borderId="17" xfId="0" applyFont="1" applyBorder="1" applyAlignment="1">
      <alignment horizontal="center" vertical="center"/>
    </xf>
    <xf numFmtId="0" fontId="2" fillId="0" borderId="0" xfId="0" applyFont="1" applyAlignment="1">
      <alignment horizontal="center" vertical="center" wrapText="1"/>
    </xf>
    <xf numFmtId="0" fontId="2" fillId="0" borderId="23"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4" xfId="0" applyFont="1" applyBorder="1" applyAlignment="1">
      <alignment horizontal="center" vertical="center" wrapText="1"/>
    </xf>
    <xf numFmtId="0" fontId="6" fillId="5" borderId="17"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6" fillId="5" borderId="17" xfId="0" applyFont="1" applyFill="1" applyBorder="1" applyAlignment="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22" xfId="0" applyFont="1" applyFill="1" applyBorder="1" applyAlignment="1">
      <alignment horizontal="center" vertical="center"/>
    </xf>
    <xf numFmtId="0" fontId="6" fillId="5" borderId="28" xfId="0" applyFont="1" applyFill="1" applyBorder="1" applyAlignment="1">
      <alignment horizontal="center" vertical="center"/>
    </xf>
    <xf numFmtId="0" fontId="6" fillId="5" borderId="24" xfId="0" applyFont="1" applyFill="1" applyBorder="1" applyAlignment="1">
      <alignment horizontal="center" vertical="center"/>
    </xf>
    <xf numFmtId="0" fontId="7" fillId="3" borderId="17" xfId="0" applyFont="1" applyFill="1" applyBorder="1" applyAlignment="1">
      <alignment horizontal="center" vertical="center" wrapText="1"/>
    </xf>
    <xf numFmtId="0" fontId="3" fillId="4" borderId="46"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30" xfId="0" applyFont="1" applyFill="1" applyBorder="1" applyAlignment="1">
      <alignment horizontal="center" vertical="center"/>
    </xf>
    <xf numFmtId="0" fontId="7" fillId="3" borderId="18"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16" activePane="bottomRight" state="frozen"/>
      <selection pane="topRight"/>
      <selection pane="bottomLeft"/>
      <selection pane="bottomRight" activeCell="C24" sqref="C24"/>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4.8554687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382</v>
      </c>
      <c r="H2" s="4"/>
      <c r="I2" s="2"/>
      <c r="J2" s="4"/>
    </row>
    <row r="3" spans="1:10" ht="45" x14ac:dyDescent="0.25">
      <c r="A3" s="11" t="s">
        <v>13</v>
      </c>
      <c r="B3" s="6" t="s">
        <v>348</v>
      </c>
      <c r="C3" s="24" t="s">
        <v>349</v>
      </c>
      <c r="D3" s="6" t="s">
        <v>14</v>
      </c>
      <c r="E3" s="15" t="s">
        <v>15</v>
      </c>
      <c r="F3" s="6" t="s">
        <v>426</v>
      </c>
      <c r="G3" s="7" t="s">
        <v>392</v>
      </c>
      <c r="H3" s="4"/>
      <c r="I3" s="2"/>
      <c r="J3" s="4"/>
    </row>
    <row r="4" spans="1:10" ht="30" x14ac:dyDescent="0.25">
      <c r="A4" s="11" t="s">
        <v>16</v>
      </c>
      <c r="B4" s="6" t="s">
        <v>17</v>
      </c>
      <c r="C4" s="15" t="s">
        <v>406</v>
      </c>
      <c r="D4" s="6" t="s">
        <v>18</v>
      </c>
      <c r="E4" s="15" t="s">
        <v>314</v>
      </c>
      <c r="F4" s="6" t="s">
        <v>19</v>
      </c>
      <c r="G4" s="7" t="s">
        <v>381</v>
      </c>
      <c r="H4" s="4"/>
      <c r="I4" s="3"/>
      <c r="J4" s="4"/>
    </row>
    <row r="5" spans="1:10" ht="30" x14ac:dyDescent="0.25">
      <c r="A5" s="11" t="s">
        <v>20</v>
      </c>
      <c r="B5" s="8" t="s">
        <v>21</v>
      </c>
      <c r="C5" s="15" t="s">
        <v>22</v>
      </c>
      <c r="D5" s="6" t="s">
        <v>23</v>
      </c>
      <c r="E5" s="15" t="s">
        <v>314</v>
      </c>
      <c r="F5" s="6" t="s">
        <v>24</v>
      </c>
      <c r="G5" s="7" t="s">
        <v>427</v>
      </c>
      <c r="H5" s="4"/>
      <c r="I5" s="2"/>
      <c r="J5" s="4"/>
    </row>
    <row r="6" spans="1:10" ht="45" x14ac:dyDescent="0.25">
      <c r="A6" s="11" t="s">
        <v>25</v>
      </c>
      <c r="B6" s="6" t="s">
        <v>26</v>
      </c>
      <c r="C6" s="15" t="s">
        <v>27</v>
      </c>
      <c r="D6" s="6" t="s">
        <v>28</v>
      </c>
      <c r="E6" s="15" t="s">
        <v>29</v>
      </c>
      <c r="F6" s="6" t="s">
        <v>423</v>
      </c>
      <c r="G6" s="7" t="s">
        <v>384</v>
      </c>
      <c r="H6" s="4"/>
      <c r="I6" s="3"/>
      <c r="J6" s="4"/>
    </row>
    <row r="7" spans="1:10" ht="45" x14ac:dyDescent="0.25">
      <c r="A7" s="11" t="s">
        <v>31</v>
      </c>
      <c r="B7" s="6" t="s">
        <v>32</v>
      </c>
      <c r="C7" s="15" t="s">
        <v>33</v>
      </c>
      <c r="D7" s="6" t="s">
        <v>34</v>
      </c>
      <c r="E7" s="18" t="s">
        <v>35</v>
      </c>
      <c r="F7" s="6" t="s">
        <v>415</v>
      </c>
      <c r="G7" s="7" t="s">
        <v>416</v>
      </c>
      <c r="H7" s="4"/>
      <c r="I7" s="3"/>
      <c r="J7" s="4"/>
    </row>
    <row r="8" spans="1:10" ht="30" x14ac:dyDescent="0.25">
      <c r="A8" s="11" t="s">
        <v>37</v>
      </c>
      <c r="B8" s="6" t="s">
        <v>41</v>
      </c>
      <c r="C8" s="15" t="s">
        <v>414</v>
      </c>
      <c r="D8" s="6" t="s">
        <v>315</v>
      </c>
      <c r="E8" s="15" t="s">
        <v>314</v>
      </c>
      <c r="F8" s="6" t="s">
        <v>417</v>
      </c>
      <c r="G8" s="9" t="s">
        <v>418</v>
      </c>
      <c r="H8" s="4"/>
      <c r="I8" s="2"/>
      <c r="J8" s="4"/>
    </row>
    <row r="9" spans="1:10" ht="30" x14ac:dyDescent="0.25">
      <c r="A9" s="11" t="s">
        <v>38</v>
      </c>
      <c r="B9" s="6" t="s">
        <v>435</v>
      </c>
      <c r="C9" s="15" t="s">
        <v>44</v>
      </c>
      <c r="D9" s="6" t="s">
        <v>39</v>
      </c>
      <c r="E9" s="15" t="s">
        <v>314</v>
      </c>
      <c r="F9" s="6" t="s">
        <v>419</v>
      </c>
      <c r="G9" s="7" t="s">
        <v>420</v>
      </c>
      <c r="H9" s="4"/>
      <c r="I9" s="3"/>
      <c r="J9" s="4"/>
    </row>
    <row r="10" spans="1:10" ht="45" x14ac:dyDescent="0.25">
      <c r="A10" s="11" t="s">
        <v>40</v>
      </c>
      <c r="B10" s="6" t="s">
        <v>48</v>
      </c>
      <c r="C10" s="15" t="s">
        <v>49</v>
      </c>
      <c r="D10" s="6" t="s">
        <v>430</v>
      </c>
      <c r="E10" s="15" t="s">
        <v>433</v>
      </c>
      <c r="F10" s="6" t="s">
        <v>421</v>
      </c>
      <c r="G10" s="7" t="s">
        <v>422</v>
      </c>
      <c r="H10" s="4"/>
      <c r="I10" s="2"/>
      <c r="J10" s="4"/>
    </row>
    <row r="11" spans="1:10" ht="45" x14ac:dyDescent="0.25">
      <c r="A11" s="11" t="s">
        <v>43</v>
      </c>
      <c r="B11" s="6" t="s">
        <v>358</v>
      </c>
      <c r="C11" s="15" t="s">
        <v>432</v>
      </c>
      <c r="D11" s="6" t="s">
        <v>45</v>
      </c>
      <c r="E11" s="15" t="s">
        <v>434</v>
      </c>
      <c r="F11" s="6" t="s">
        <v>425</v>
      </c>
      <c r="G11" s="7" t="s">
        <v>424</v>
      </c>
      <c r="H11" s="4"/>
      <c r="I11" s="2"/>
      <c r="J11" s="4"/>
    </row>
    <row r="12" spans="1:10" ht="45" x14ac:dyDescent="0.25">
      <c r="A12" s="11" t="s">
        <v>47</v>
      </c>
      <c r="B12" s="6" t="s">
        <v>57</v>
      </c>
      <c r="C12" s="15" t="s">
        <v>345</v>
      </c>
      <c r="D12" s="6" t="s">
        <v>50</v>
      </c>
      <c r="E12" s="15" t="s">
        <v>51</v>
      </c>
      <c r="F12" s="6" t="s">
        <v>46</v>
      </c>
      <c r="G12" s="7" t="s">
        <v>386</v>
      </c>
      <c r="H12" s="4"/>
      <c r="I12" s="2"/>
      <c r="J12" s="4"/>
    </row>
    <row r="13" spans="1:10" ht="45" x14ac:dyDescent="0.25">
      <c r="A13" s="11" t="s">
        <v>53</v>
      </c>
      <c r="B13" s="6" t="s">
        <v>60</v>
      </c>
      <c r="C13" s="15" t="s">
        <v>61</v>
      </c>
      <c r="D13" s="6" t="s">
        <v>54</v>
      </c>
      <c r="E13" s="15" t="s">
        <v>55</v>
      </c>
      <c r="F13" s="6" t="s">
        <v>52</v>
      </c>
      <c r="G13" s="7" t="s">
        <v>385</v>
      </c>
      <c r="H13" s="4"/>
      <c r="I13" s="2"/>
      <c r="J13" s="4"/>
    </row>
    <row r="14" spans="1:10" ht="45" x14ac:dyDescent="0.25">
      <c r="A14" s="11" t="s">
        <v>56</v>
      </c>
      <c r="B14" s="6" t="s">
        <v>65</v>
      </c>
      <c r="C14" s="15" t="s">
        <v>66</v>
      </c>
      <c r="D14" s="6" t="s">
        <v>58</v>
      </c>
      <c r="E14" s="15" t="s">
        <v>466</v>
      </c>
      <c r="F14" s="6" t="s">
        <v>42</v>
      </c>
      <c r="G14" s="7" t="s">
        <v>385</v>
      </c>
      <c r="H14" s="4"/>
      <c r="I14" s="3"/>
      <c r="J14" s="4"/>
    </row>
    <row r="15" spans="1:10" ht="45" x14ac:dyDescent="0.25">
      <c r="A15" s="11" t="s">
        <v>59</v>
      </c>
      <c r="B15" s="6" t="s">
        <v>463</v>
      </c>
      <c r="C15" s="15" t="s">
        <v>464</v>
      </c>
      <c r="D15" s="6" t="s">
        <v>62</v>
      </c>
      <c r="E15" s="15" t="s">
        <v>467</v>
      </c>
      <c r="F15" s="6" t="s">
        <v>63</v>
      </c>
      <c r="G15" s="7" t="s">
        <v>388</v>
      </c>
      <c r="H15" s="4"/>
      <c r="I15" s="3"/>
      <c r="J15" s="4"/>
    </row>
    <row r="16" spans="1:10" ht="60" x14ac:dyDescent="0.25">
      <c r="A16" s="11" t="s">
        <v>64</v>
      </c>
      <c r="B16" s="6" t="s">
        <v>69</v>
      </c>
      <c r="C16" s="15" t="s">
        <v>462</v>
      </c>
      <c r="D16" s="6" t="s">
        <v>67</v>
      </c>
      <c r="E16" s="15" t="s">
        <v>436</v>
      </c>
      <c r="F16" s="6" t="s">
        <v>413</v>
      </c>
      <c r="G16" s="7" t="s">
        <v>387</v>
      </c>
      <c r="H16" s="4"/>
      <c r="I16" s="2"/>
      <c r="J16" s="4"/>
    </row>
    <row r="17" spans="1:10" ht="45" x14ac:dyDescent="0.25">
      <c r="A17" s="11" t="s">
        <v>68</v>
      </c>
      <c r="B17" s="6" t="s">
        <v>76</v>
      </c>
      <c r="C17" s="15" t="s">
        <v>77</v>
      </c>
      <c r="D17" s="6" t="s">
        <v>70</v>
      </c>
      <c r="E17" s="15" t="s">
        <v>71</v>
      </c>
      <c r="F17" s="6" t="s">
        <v>391</v>
      </c>
      <c r="G17" s="7" t="s">
        <v>387</v>
      </c>
      <c r="H17" s="4"/>
      <c r="I17" s="2"/>
      <c r="J17" s="4"/>
    </row>
    <row r="18" spans="1:10" ht="45" x14ac:dyDescent="0.25">
      <c r="A18" s="11" t="s">
        <v>72</v>
      </c>
      <c r="B18" s="6" t="s">
        <v>80</v>
      </c>
      <c r="C18" s="15" t="s">
        <v>81</v>
      </c>
      <c r="D18" s="6" t="s">
        <v>74</v>
      </c>
      <c r="E18" s="15" t="s">
        <v>322</v>
      </c>
      <c r="F18" s="6" t="s">
        <v>36</v>
      </c>
      <c r="G18" s="7" t="s">
        <v>383</v>
      </c>
      <c r="H18" s="4"/>
      <c r="I18" s="2"/>
      <c r="J18" s="4"/>
    </row>
    <row r="19" spans="1:10" ht="45" x14ac:dyDescent="0.25">
      <c r="A19" s="11" t="s">
        <v>75</v>
      </c>
      <c r="B19" s="6" t="s">
        <v>84</v>
      </c>
      <c r="C19" s="15" t="s">
        <v>85</v>
      </c>
      <c r="D19" s="6" t="s">
        <v>78</v>
      </c>
      <c r="E19" s="15" t="s">
        <v>323</v>
      </c>
      <c r="F19" s="23" t="s">
        <v>371</v>
      </c>
      <c r="G19" s="25" t="s">
        <v>389</v>
      </c>
      <c r="H19" s="4"/>
      <c r="I19" s="2"/>
      <c r="J19" s="4"/>
    </row>
    <row r="20" spans="1:10" ht="45" x14ac:dyDescent="0.25">
      <c r="A20" s="11" t="s">
        <v>79</v>
      </c>
      <c r="B20" s="6" t="s">
        <v>88</v>
      </c>
      <c r="C20" s="15" t="s">
        <v>89</v>
      </c>
      <c r="D20" s="6" t="s">
        <v>82</v>
      </c>
      <c r="E20" s="15" t="s">
        <v>450</v>
      </c>
      <c r="F20" s="6" t="s">
        <v>372</v>
      </c>
      <c r="G20" s="7" t="s">
        <v>390</v>
      </c>
      <c r="H20" s="4"/>
      <c r="I20" s="3"/>
      <c r="J20" s="4"/>
    </row>
    <row r="21" spans="1:10" ht="45" x14ac:dyDescent="0.25">
      <c r="A21" s="11" t="s">
        <v>83</v>
      </c>
      <c r="B21" s="6" t="s">
        <v>92</v>
      </c>
      <c r="C21" s="15" t="s">
        <v>93</v>
      </c>
      <c r="D21" s="6" t="s">
        <v>86</v>
      </c>
      <c r="E21" s="15" t="s">
        <v>451</v>
      </c>
      <c r="F21" s="6" t="s">
        <v>394</v>
      </c>
      <c r="G21" s="25" t="s">
        <v>389</v>
      </c>
      <c r="H21" s="4"/>
      <c r="I21" s="3"/>
      <c r="J21" s="4"/>
    </row>
    <row r="22" spans="1:10" ht="45" x14ac:dyDescent="0.25">
      <c r="A22" s="11" t="s">
        <v>87</v>
      </c>
      <c r="B22" s="6" t="s">
        <v>96</v>
      </c>
      <c r="C22" s="15" t="s">
        <v>97</v>
      </c>
      <c r="D22" s="6" t="s">
        <v>90</v>
      </c>
      <c r="E22" s="15" t="s">
        <v>342</v>
      </c>
      <c r="F22" s="6" t="s">
        <v>30</v>
      </c>
      <c r="G22" s="7" t="s">
        <v>393</v>
      </c>
      <c r="H22" s="4"/>
      <c r="I22" s="3"/>
      <c r="J22" s="4"/>
    </row>
    <row r="23" spans="1:10" ht="45" x14ac:dyDescent="0.25">
      <c r="A23" s="11" t="s">
        <v>91</v>
      </c>
      <c r="B23" s="6" t="s">
        <v>437</v>
      </c>
      <c r="C23" s="15" t="s">
        <v>366</v>
      </c>
      <c r="D23" s="6" t="s">
        <v>94</v>
      </c>
      <c r="E23" s="15" t="s">
        <v>465</v>
      </c>
      <c r="F23" s="6"/>
      <c r="G23" s="7"/>
      <c r="H23" s="4"/>
      <c r="I23" s="3"/>
      <c r="J23" s="4"/>
    </row>
    <row r="24" spans="1:10" ht="45" x14ac:dyDescent="0.25">
      <c r="A24" s="11" t="s">
        <v>95</v>
      </c>
      <c r="B24" s="6" t="s">
        <v>461</v>
      </c>
      <c r="C24" s="15" t="s">
        <v>431</v>
      </c>
      <c r="D24" s="6" t="s">
        <v>98</v>
      </c>
      <c r="E24" s="15" t="s">
        <v>452</v>
      </c>
      <c r="F24" s="6"/>
      <c r="G24" s="9"/>
      <c r="H24" s="4"/>
      <c r="I24" s="3"/>
      <c r="J24" s="4"/>
    </row>
    <row r="25" spans="1:10" ht="45" x14ac:dyDescent="0.25">
      <c r="A25" s="11" t="s">
        <v>99</v>
      </c>
      <c r="B25" s="6" t="s">
        <v>104</v>
      </c>
      <c r="C25" s="15" t="s">
        <v>453</v>
      </c>
      <c r="D25" s="6" t="s">
        <v>100</v>
      </c>
      <c r="E25" s="15" t="s">
        <v>454</v>
      </c>
      <c r="F25" s="6"/>
      <c r="G25" s="7"/>
      <c r="H25" s="4"/>
      <c r="I25" s="3"/>
      <c r="J25" s="4"/>
    </row>
    <row r="26" spans="1:10" ht="45" x14ac:dyDescent="0.25">
      <c r="A26" s="11" t="s">
        <v>101</v>
      </c>
      <c r="B26" s="6" t="s">
        <v>107</v>
      </c>
      <c r="C26" s="15" t="s">
        <v>396</v>
      </c>
      <c r="D26" s="6" t="s">
        <v>102</v>
      </c>
      <c r="E26" s="15" t="s">
        <v>375</v>
      </c>
      <c r="F26" s="6"/>
      <c r="G26" s="7"/>
      <c r="H26" s="4"/>
      <c r="I26" s="3"/>
      <c r="J26" s="4"/>
    </row>
    <row r="27" spans="1:10" ht="45" x14ac:dyDescent="0.25">
      <c r="A27" s="11" t="s">
        <v>103</v>
      </c>
      <c r="B27" s="6" t="s">
        <v>110</v>
      </c>
      <c r="C27" s="16" t="s">
        <v>111</v>
      </c>
      <c r="D27" s="6" t="s">
        <v>105</v>
      </c>
      <c r="E27" s="15" t="s">
        <v>376</v>
      </c>
      <c r="F27" s="6"/>
      <c r="G27" s="7"/>
      <c r="H27" s="4"/>
      <c r="I27" s="3"/>
      <c r="J27" s="4"/>
    </row>
    <row r="28" spans="1:10" ht="45" x14ac:dyDescent="0.25">
      <c r="A28" s="11" t="s">
        <v>106</v>
      </c>
      <c r="B28" s="6" t="s">
        <v>114</v>
      </c>
      <c r="C28" s="15" t="s">
        <v>115</v>
      </c>
      <c r="D28" s="6" t="s">
        <v>108</v>
      </c>
      <c r="E28" s="15" t="s">
        <v>373</v>
      </c>
      <c r="F28" s="6"/>
      <c r="G28" s="7"/>
      <c r="H28" s="4"/>
      <c r="I28" s="3"/>
      <c r="J28" s="4"/>
    </row>
    <row r="29" spans="1:10" ht="45" x14ac:dyDescent="0.25">
      <c r="A29" s="11" t="s">
        <v>109</v>
      </c>
      <c r="B29" s="6" t="s">
        <v>118</v>
      </c>
      <c r="C29" s="15" t="s">
        <v>119</v>
      </c>
      <c r="D29" s="6" t="s">
        <v>112</v>
      </c>
      <c r="E29" s="15" t="s">
        <v>374</v>
      </c>
      <c r="F29" s="6"/>
      <c r="G29" s="7"/>
      <c r="H29" s="4"/>
      <c r="I29" s="3"/>
      <c r="J29" s="4"/>
    </row>
    <row r="30" spans="1:10" ht="45" x14ac:dyDescent="0.25">
      <c r="A30" s="11" t="s">
        <v>113</v>
      </c>
      <c r="B30" s="6" t="s">
        <v>122</v>
      </c>
      <c r="C30" s="15" t="s">
        <v>123</v>
      </c>
      <c r="D30" s="6" t="s">
        <v>116</v>
      </c>
      <c r="E30" s="15" t="s">
        <v>459</v>
      </c>
      <c r="F30" s="6"/>
      <c r="G30" s="7"/>
      <c r="H30" s="4"/>
      <c r="I30" s="3"/>
      <c r="J30" s="4"/>
    </row>
    <row r="31" spans="1:10" ht="45" x14ac:dyDescent="0.25">
      <c r="A31" s="11" t="s">
        <v>117</v>
      </c>
      <c r="B31" s="6" t="s">
        <v>125</v>
      </c>
      <c r="C31" s="15" t="s">
        <v>126</v>
      </c>
      <c r="D31" s="6" t="s">
        <v>120</v>
      </c>
      <c r="E31" s="15" t="s">
        <v>460</v>
      </c>
      <c r="F31" s="6"/>
      <c r="G31" s="7"/>
      <c r="H31" s="4"/>
      <c r="I31" s="3"/>
      <c r="J31" s="4"/>
    </row>
    <row r="32" spans="1:10" ht="45" x14ac:dyDescent="0.25">
      <c r="A32" s="11" t="s">
        <v>121</v>
      </c>
      <c r="B32" s="6" t="s">
        <v>128</v>
      </c>
      <c r="C32" s="15" t="s">
        <v>356</v>
      </c>
      <c r="D32" s="8" t="s">
        <v>369</v>
      </c>
      <c r="E32" s="15" t="s">
        <v>457</v>
      </c>
      <c r="F32" s="6"/>
      <c r="G32" s="7"/>
      <c r="H32" s="4"/>
      <c r="I32" s="3"/>
      <c r="J32" s="4"/>
    </row>
    <row r="33" spans="1:10" ht="45" x14ac:dyDescent="0.25">
      <c r="A33" s="11" t="s">
        <v>124</v>
      </c>
      <c r="B33" s="6" t="s">
        <v>130</v>
      </c>
      <c r="C33" s="15" t="s">
        <v>131</v>
      </c>
      <c r="D33" s="6" t="s">
        <v>370</v>
      </c>
      <c r="E33" s="15" t="s">
        <v>458</v>
      </c>
      <c r="F33" s="6"/>
      <c r="G33" s="7"/>
      <c r="H33" s="4"/>
      <c r="I33" s="3"/>
      <c r="J33" s="4"/>
    </row>
    <row r="34" spans="1:10" ht="45" x14ac:dyDescent="0.25">
      <c r="A34" s="11" t="s">
        <v>127</v>
      </c>
      <c r="B34" s="6" t="s">
        <v>346</v>
      </c>
      <c r="C34" s="15" t="s">
        <v>347</v>
      </c>
      <c r="D34" s="6" t="s">
        <v>470</v>
      </c>
      <c r="E34" s="15" t="s">
        <v>468</v>
      </c>
      <c r="F34" s="6"/>
      <c r="G34" s="7"/>
      <c r="H34" s="4"/>
      <c r="I34" s="3"/>
      <c r="J34" s="4"/>
    </row>
    <row r="35" spans="1:10" ht="45" x14ac:dyDescent="0.25">
      <c r="A35" s="11" t="s">
        <v>129</v>
      </c>
      <c r="B35" s="6" t="s">
        <v>359</v>
      </c>
      <c r="C35" s="15" t="s">
        <v>357</v>
      </c>
      <c r="D35" s="6" t="s">
        <v>471</v>
      </c>
      <c r="E35" s="15" t="s">
        <v>469</v>
      </c>
      <c r="F35" s="6"/>
      <c r="G35" s="7"/>
      <c r="H35" s="4"/>
      <c r="I35" s="3"/>
      <c r="J35" s="4"/>
    </row>
    <row r="36" spans="1:10" ht="30" x14ac:dyDescent="0.25">
      <c r="A36" s="11" t="s">
        <v>132</v>
      </c>
      <c r="B36" s="6" t="s">
        <v>428</v>
      </c>
      <c r="C36" s="15" t="s">
        <v>429</v>
      </c>
      <c r="D36" s="6"/>
      <c r="E36" s="16"/>
      <c r="F36" s="23"/>
      <c r="G36" s="25"/>
      <c r="H36" s="4"/>
      <c r="I36" s="3"/>
      <c r="J36" s="4"/>
    </row>
    <row r="37" spans="1:10" ht="30" x14ac:dyDescent="0.25">
      <c r="A37" s="11" t="s">
        <v>133</v>
      </c>
      <c r="B37" s="6" t="s">
        <v>368</v>
      </c>
      <c r="C37" s="15" t="s">
        <v>367</v>
      </c>
      <c r="D37" s="6"/>
      <c r="E37" s="16"/>
      <c r="F37" s="6"/>
      <c r="G37" s="7"/>
      <c r="H37" s="4"/>
      <c r="I37" s="3"/>
      <c r="J37" s="4"/>
    </row>
    <row r="38" spans="1:10" ht="30" x14ac:dyDescent="0.25">
      <c r="A38" s="11" t="s">
        <v>134</v>
      </c>
      <c r="B38" s="6" t="s">
        <v>379</v>
      </c>
      <c r="C38" s="15" t="s">
        <v>378</v>
      </c>
      <c r="D38" s="6"/>
      <c r="E38" s="16"/>
      <c r="F38" s="6"/>
      <c r="G38" s="7"/>
      <c r="H38" s="4"/>
      <c r="I38" s="3"/>
      <c r="J38" s="4"/>
    </row>
    <row r="39" spans="1:10" ht="30" x14ac:dyDescent="0.25">
      <c r="A39" s="11" t="s">
        <v>135</v>
      </c>
      <c r="B39" s="6" t="s">
        <v>403</v>
      </c>
      <c r="C39" s="15" t="s">
        <v>402</v>
      </c>
      <c r="D39" s="6"/>
      <c r="E39" s="16"/>
      <c r="F39" s="6"/>
      <c r="G39" s="7"/>
      <c r="H39" s="4"/>
      <c r="I39" s="3"/>
      <c r="J39" s="4"/>
    </row>
    <row r="40" spans="1:10" x14ac:dyDescent="0.25">
      <c r="A40" s="11" t="s">
        <v>136</v>
      </c>
      <c r="B40" s="6"/>
      <c r="C40" s="15"/>
      <c r="D40" s="6"/>
      <c r="E40" s="16"/>
      <c r="F40" s="6"/>
      <c r="G40" s="9"/>
      <c r="H40" s="4"/>
      <c r="I40" s="3"/>
      <c r="J40" s="4"/>
    </row>
    <row r="41" spans="1:10" x14ac:dyDescent="0.25">
      <c r="A41" s="11" t="s">
        <v>137</v>
      </c>
      <c r="B41" s="6"/>
      <c r="C41" s="15"/>
      <c r="D41" s="6"/>
      <c r="E41" s="16"/>
      <c r="F41" s="6"/>
      <c r="G41" s="7"/>
      <c r="H41" s="4"/>
      <c r="I41" s="3"/>
      <c r="J41" s="4"/>
    </row>
    <row r="42" spans="1:10" x14ac:dyDescent="0.25">
      <c r="A42" s="11" t="s">
        <v>138</v>
      </c>
      <c r="B42" s="6"/>
      <c r="C42" s="16"/>
      <c r="D42" s="6"/>
      <c r="E42" s="16"/>
      <c r="F42" s="6"/>
      <c r="G42" s="7"/>
      <c r="H42" s="4"/>
      <c r="I42" s="3"/>
      <c r="J42" s="4"/>
    </row>
    <row r="43" spans="1:10" x14ac:dyDescent="0.25">
      <c r="A43" s="11" t="s">
        <v>139</v>
      </c>
      <c r="B43" s="6"/>
      <c r="C43" s="16"/>
      <c r="D43" s="6"/>
      <c r="E43" s="16"/>
      <c r="F43" s="6"/>
      <c r="G43" s="7"/>
      <c r="H43" s="4"/>
      <c r="I43" s="3"/>
      <c r="J43" s="4"/>
    </row>
    <row r="44" spans="1:10" x14ac:dyDescent="0.25">
      <c r="A44" s="11" t="s">
        <v>140</v>
      </c>
      <c r="B44" s="6"/>
      <c r="C44" s="16"/>
      <c r="D44" s="6"/>
      <c r="E44" s="16"/>
      <c r="F44" s="6"/>
      <c r="G44" s="7"/>
      <c r="H44" s="4"/>
      <c r="I44" s="3"/>
      <c r="J44" s="4"/>
    </row>
    <row r="45" spans="1:10" x14ac:dyDescent="0.25">
      <c r="A45" s="11" t="s">
        <v>141</v>
      </c>
      <c r="B45" s="6"/>
      <c r="C45" s="16"/>
      <c r="D45" s="6"/>
      <c r="E45" s="16"/>
      <c r="F45" s="6"/>
      <c r="G45" s="7"/>
      <c r="H45" s="4"/>
      <c r="I45" s="3"/>
      <c r="J45" s="4"/>
    </row>
    <row r="46" spans="1:10" x14ac:dyDescent="0.25">
      <c r="A46" s="11" t="s">
        <v>142</v>
      </c>
      <c r="B46" s="6"/>
      <c r="C46" s="16"/>
      <c r="D46" s="6"/>
      <c r="E46" s="16"/>
      <c r="F46" s="6"/>
      <c r="G46" s="7"/>
      <c r="H46" s="4"/>
      <c r="I46" s="3"/>
      <c r="J46" s="4"/>
    </row>
    <row r="47" spans="1:10" x14ac:dyDescent="0.25">
      <c r="A47" s="11" t="s">
        <v>143</v>
      </c>
      <c r="B47" s="6"/>
      <c r="C47" s="16"/>
      <c r="D47" s="6"/>
      <c r="E47" s="16"/>
      <c r="F47" s="6"/>
      <c r="G47" s="7"/>
      <c r="H47" s="4"/>
      <c r="I47" s="3"/>
      <c r="J47" s="4"/>
    </row>
    <row r="48" spans="1:10" x14ac:dyDescent="0.25">
      <c r="A48" s="11" t="s">
        <v>144</v>
      </c>
      <c r="B48" s="6"/>
      <c r="C48" s="16"/>
      <c r="D48" s="6"/>
      <c r="E48" s="16"/>
      <c r="F48" s="6"/>
      <c r="G48" s="7"/>
      <c r="H48" s="4"/>
      <c r="I48" s="3"/>
      <c r="J48" s="4"/>
    </row>
    <row r="49" spans="1:10" x14ac:dyDescent="0.25">
      <c r="A49" s="11" t="s">
        <v>145</v>
      </c>
      <c r="B49" s="6"/>
      <c r="C49" s="16"/>
      <c r="D49" s="6"/>
      <c r="E49" s="16"/>
      <c r="F49" s="6"/>
      <c r="G49" s="7"/>
      <c r="H49" s="4"/>
      <c r="I49" s="3"/>
      <c r="J49" s="4"/>
    </row>
    <row r="50" spans="1:10" x14ac:dyDescent="0.25">
      <c r="A50" s="11" t="s">
        <v>146</v>
      </c>
      <c r="B50" s="6"/>
      <c r="C50" s="16"/>
      <c r="D50" s="6"/>
      <c r="E50" s="16"/>
      <c r="F50" s="6"/>
      <c r="G50" s="7"/>
      <c r="H50" s="4"/>
      <c r="I50" s="3"/>
      <c r="J50" s="4"/>
    </row>
    <row r="51" spans="1:10" x14ac:dyDescent="0.25">
      <c r="A51" s="11" t="s">
        <v>147</v>
      </c>
      <c r="B51" s="99"/>
      <c r="C51" s="100"/>
      <c r="D51" s="6"/>
      <c r="E51" s="16"/>
      <c r="F51" s="6"/>
      <c r="G51" s="7"/>
      <c r="H51" s="4"/>
      <c r="I51" s="3"/>
      <c r="J51" s="4"/>
    </row>
    <row r="52" spans="1:10" x14ac:dyDescent="0.25">
      <c r="A52" s="11" t="s">
        <v>148</v>
      </c>
      <c r="B52" s="99"/>
      <c r="C52" s="100"/>
      <c r="D52" s="6"/>
      <c r="E52" s="16"/>
      <c r="F52" s="6"/>
      <c r="G52" s="7"/>
      <c r="H52" s="4"/>
      <c r="I52" s="3"/>
      <c r="J52" s="4"/>
    </row>
    <row r="53" spans="1:10" ht="15.75" thickBot="1" x14ac:dyDescent="0.3">
      <c r="A53" s="12" t="s">
        <v>149</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A3" activePane="bottomLeft" state="frozen"/>
      <selection activeCell="E1" sqref="E1"/>
      <selection pane="bottomLeft" activeCell="D11" sqref="D11"/>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47" t="s">
        <v>150</v>
      </c>
      <c r="B1" s="48" t="s">
        <v>151</v>
      </c>
      <c r="C1" s="49" t="s">
        <v>152</v>
      </c>
      <c r="D1" s="50" t="s">
        <v>153</v>
      </c>
      <c r="E1" s="50" t="s">
        <v>154</v>
      </c>
      <c r="F1" s="50" t="s">
        <v>155</v>
      </c>
      <c r="G1" s="50" t="s">
        <v>319</v>
      </c>
      <c r="H1" s="50" t="s">
        <v>156</v>
      </c>
      <c r="I1" s="51" t="s">
        <v>157</v>
      </c>
    </row>
    <row r="2" spans="1:9" ht="60" x14ac:dyDescent="0.25">
      <c r="A2" s="43" t="s">
        <v>301</v>
      </c>
      <c r="B2" s="44" t="s">
        <v>377</v>
      </c>
      <c r="C2" s="45" t="s">
        <v>158</v>
      </c>
      <c r="D2" s="46" t="s">
        <v>159</v>
      </c>
      <c r="E2" s="46" t="s">
        <v>160</v>
      </c>
      <c r="F2" s="46" t="s">
        <v>161</v>
      </c>
      <c r="G2" s="46" t="s">
        <v>162</v>
      </c>
      <c r="H2" s="46" t="s">
        <v>163</v>
      </c>
      <c r="I2" s="46" t="s">
        <v>395</v>
      </c>
    </row>
    <row r="3" spans="1:9" ht="60" x14ac:dyDescent="0.25">
      <c r="A3" s="33" t="s">
        <v>321</v>
      </c>
      <c r="B3" s="31" t="s">
        <v>320</v>
      </c>
      <c r="C3" s="34" t="s">
        <v>158</v>
      </c>
      <c r="D3" s="38" t="s">
        <v>304</v>
      </c>
      <c r="E3" s="38" t="s">
        <v>164</v>
      </c>
      <c r="F3" s="38" t="s">
        <v>165</v>
      </c>
      <c r="G3" s="38" t="s">
        <v>166</v>
      </c>
      <c r="H3" s="38" t="s">
        <v>275</v>
      </c>
      <c r="I3" s="38" t="s">
        <v>167</v>
      </c>
    </row>
    <row r="4" spans="1:9" ht="105" x14ac:dyDescent="0.25">
      <c r="A4" s="33" t="s">
        <v>168</v>
      </c>
      <c r="B4" s="32" t="s">
        <v>169</v>
      </c>
      <c r="C4" s="34" t="s">
        <v>158</v>
      </c>
      <c r="D4" s="38" t="s">
        <v>170</v>
      </c>
      <c r="E4" s="38" t="s">
        <v>171</v>
      </c>
      <c r="F4" s="38" t="s">
        <v>350</v>
      </c>
      <c r="G4" s="38" t="s">
        <v>172</v>
      </c>
      <c r="H4" s="38" t="s">
        <v>173</v>
      </c>
      <c r="I4" s="41"/>
    </row>
    <row r="5" spans="1:9" ht="75" x14ac:dyDescent="0.25">
      <c r="A5" s="33" t="s">
        <v>174</v>
      </c>
      <c r="B5" s="31" t="s">
        <v>281</v>
      </c>
      <c r="C5" s="34" t="s">
        <v>158</v>
      </c>
      <c r="D5" s="38" t="s">
        <v>175</v>
      </c>
      <c r="E5" s="38" t="s">
        <v>176</v>
      </c>
      <c r="F5" s="38" t="s">
        <v>177</v>
      </c>
      <c r="G5" s="38" t="s">
        <v>317</v>
      </c>
      <c r="H5" s="38" t="s">
        <v>274</v>
      </c>
      <c r="I5" s="41"/>
    </row>
    <row r="6" spans="1:9" ht="135" x14ac:dyDescent="0.25">
      <c r="A6" s="33" t="s">
        <v>178</v>
      </c>
      <c r="B6" s="32" t="s">
        <v>179</v>
      </c>
      <c r="C6" s="34" t="s">
        <v>158</v>
      </c>
      <c r="D6" s="38" t="s">
        <v>180</v>
      </c>
      <c r="E6" s="38" t="s">
        <v>181</v>
      </c>
      <c r="F6" s="38" t="s">
        <v>182</v>
      </c>
      <c r="G6" s="38" t="s">
        <v>318</v>
      </c>
      <c r="H6" s="38" t="s">
        <v>380</v>
      </c>
      <c r="I6" s="41"/>
    </row>
    <row r="7" spans="1:9" ht="60" x14ac:dyDescent="0.25">
      <c r="A7" s="33" t="s">
        <v>183</v>
      </c>
      <c r="B7" s="32" t="s">
        <v>184</v>
      </c>
      <c r="C7" s="34" t="s">
        <v>158</v>
      </c>
      <c r="D7" s="38" t="s">
        <v>355</v>
      </c>
      <c r="E7" s="38" t="s">
        <v>279</v>
      </c>
      <c r="F7" s="40" t="s">
        <v>306</v>
      </c>
      <c r="G7" s="38" t="s">
        <v>185</v>
      </c>
      <c r="H7" s="38"/>
      <c r="I7" s="41"/>
    </row>
    <row r="8" spans="1:9" ht="45" x14ac:dyDescent="0.25">
      <c r="A8" s="33" t="s">
        <v>186</v>
      </c>
      <c r="B8" s="31" t="s">
        <v>187</v>
      </c>
      <c r="C8" s="34" t="s">
        <v>158</v>
      </c>
      <c r="D8" s="38" t="s">
        <v>188</v>
      </c>
      <c r="E8" s="38" t="s">
        <v>280</v>
      </c>
      <c r="F8" s="38" t="s">
        <v>189</v>
      </c>
      <c r="G8" s="38"/>
      <c r="H8" s="38"/>
      <c r="I8" s="41"/>
    </row>
    <row r="9" spans="1:9" ht="150" x14ac:dyDescent="0.25">
      <c r="A9" s="33" t="s">
        <v>190</v>
      </c>
      <c r="B9" s="31" t="s">
        <v>191</v>
      </c>
      <c r="C9" s="34" t="s">
        <v>158</v>
      </c>
      <c r="D9" s="38" t="s">
        <v>192</v>
      </c>
      <c r="E9" s="38" t="s">
        <v>193</v>
      </c>
      <c r="F9" s="38" t="s">
        <v>194</v>
      </c>
      <c r="G9" s="38"/>
      <c r="H9" s="38"/>
      <c r="I9" s="41"/>
    </row>
    <row r="10" spans="1:9" ht="30" x14ac:dyDescent="0.25">
      <c r="A10" s="33" t="s">
        <v>449</v>
      </c>
      <c r="B10" s="31" t="s">
        <v>195</v>
      </c>
      <c r="C10" s="34" t="s">
        <v>158</v>
      </c>
      <c r="D10" s="38" t="s">
        <v>361</v>
      </c>
      <c r="E10" s="38" t="s">
        <v>196</v>
      </c>
      <c r="F10" s="38"/>
      <c r="G10" s="38"/>
      <c r="H10" s="38"/>
      <c r="I10" s="41"/>
    </row>
    <row r="11" spans="1:9" ht="90" x14ac:dyDescent="0.25">
      <c r="A11" s="33" t="s">
        <v>197</v>
      </c>
      <c r="B11" s="31" t="s">
        <v>360</v>
      </c>
      <c r="C11" s="34" t="s">
        <v>158</v>
      </c>
      <c r="D11" s="38"/>
      <c r="E11" s="38" t="s">
        <v>362</v>
      </c>
      <c r="F11" s="38"/>
      <c r="G11" s="38"/>
      <c r="H11" s="38"/>
      <c r="I11" s="41"/>
    </row>
    <row r="12" spans="1:9" ht="45" x14ac:dyDescent="0.25">
      <c r="A12" s="33" t="s">
        <v>198</v>
      </c>
      <c r="B12" s="31" t="s">
        <v>199</v>
      </c>
      <c r="C12" s="34" t="s">
        <v>158</v>
      </c>
      <c r="D12" s="38"/>
      <c r="E12" s="38" t="s">
        <v>200</v>
      </c>
      <c r="F12" s="40"/>
      <c r="G12" s="38"/>
      <c r="H12" s="38"/>
      <c r="I12" s="41"/>
    </row>
    <row r="13" spans="1:9" ht="30" x14ac:dyDescent="0.25">
      <c r="A13" s="33" t="s">
        <v>201</v>
      </c>
      <c r="B13" s="31" t="s">
        <v>202</v>
      </c>
      <c r="C13" s="34" t="s">
        <v>158</v>
      </c>
      <c r="D13" s="38"/>
      <c r="E13" s="38" t="s">
        <v>203</v>
      </c>
      <c r="F13" s="40"/>
      <c r="G13" s="38"/>
      <c r="H13" s="38"/>
      <c r="I13" s="41"/>
    </row>
    <row r="14" spans="1:9" ht="60" x14ac:dyDescent="0.25">
      <c r="A14" s="33" t="s">
        <v>204</v>
      </c>
      <c r="B14" s="31" t="s">
        <v>205</v>
      </c>
      <c r="C14" s="34" t="s">
        <v>206</v>
      </c>
      <c r="D14" s="38"/>
      <c r="E14" s="38" t="s">
        <v>207</v>
      </c>
      <c r="F14" s="40"/>
      <c r="G14" s="38"/>
      <c r="H14" s="38"/>
      <c r="I14" s="41"/>
    </row>
    <row r="15" spans="1:9" ht="60" x14ac:dyDescent="0.25">
      <c r="A15" s="33" t="s">
        <v>208</v>
      </c>
      <c r="B15" s="31" t="s">
        <v>209</v>
      </c>
      <c r="C15" s="34" t="s">
        <v>206</v>
      </c>
      <c r="D15" s="38"/>
      <c r="E15" s="38"/>
      <c r="F15" s="38"/>
      <c r="G15" s="38"/>
      <c r="H15" s="38"/>
      <c r="I15" s="41"/>
    </row>
    <row r="16" spans="1:9" ht="45" x14ac:dyDescent="0.25">
      <c r="A16" s="33" t="s">
        <v>210</v>
      </c>
      <c r="B16" s="31" t="s">
        <v>211</v>
      </c>
      <c r="C16" s="34" t="s">
        <v>206</v>
      </c>
      <c r="D16" s="38"/>
      <c r="E16" s="38"/>
      <c r="F16" s="38"/>
      <c r="G16" s="38"/>
      <c r="H16" s="38"/>
      <c r="I16" s="41"/>
    </row>
    <row r="17" spans="1:9" ht="75" x14ac:dyDescent="0.25">
      <c r="A17" s="33" t="s">
        <v>363</v>
      </c>
      <c r="B17" s="31" t="s">
        <v>365</v>
      </c>
      <c r="C17" s="34" t="s">
        <v>206</v>
      </c>
      <c r="D17" s="38"/>
      <c r="E17" s="38"/>
      <c r="F17" s="38"/>
      <c r="G17" s="38"/>
      <c r="H17" s="38"/>
      <c r="I17" s="41"/>
    </row>
    <row r="18" spans="1:9" ht="30" x14ac:dyDescent="0.25">
      <c r="A18" s="33" t="s">
        <v>212</v>
      </c>
      <c r="B18" s="31" t="s">
        <v>213</v>
      </c>
      <c r="C18" s="34" t="s">
        <v>214</v>
      </c>
      <c r="D18" s="38"/>
      <c r="E18" s="38"/>
      <c r="F18" s="38"/>
      <c r="G18" s="38"/>
      <c r="H18" s="38"/>
      <c r="I18" s="41"/>
    </row>
    <row r="19" spans="1:9" ht="75" x14ac:dyDescent="0.25">
      <c r="A19" s="33" t="s">
        <v>215</v>
      </c>
      <c r="B19" s="31" t="s">
        <v>216</v>
      </c>
      <c r="C19" s="34" t="s">
        <v>214</v>
      </c>
      <c r="D19" s="38"/>
      <c r="E19" s="38"/>
      <c r="F19" s="38"/>
      <c r="G19" s="38"/>
      <c r="H19" s="38"/>
      <c r="I19" s="41"/>
    </row>
    <row r="20" spans="1:9" ht="60" x14ac:dyDescent="0.25">
      <c r="A20" s="33" t="s">
        <v>217</v>
      </c>
      <c r="B20" s="31" t="s">
        <v>218</v>
      </c>
      <c r="C20" s="34" t="s">
        <v>214</v>
      </c>
      <c r="D20" s="38"/>
      <c r="E20" s="38"/>
      <c r="F20" s="38"/>
      <c r="G20" s="38"/>
      <c r="H20" s="38"/>
      <c r="I20" s="41"/>
    </row>
    <row r="21" spans="1:9" ht="60" x14ac:dyDescent="0.25">
      <c r="A21" s="33" t="s">
        <v>343</v>
      </c>
      <c r="B21" s="31" t="s">
        <v>344</v>
      </c>
      <c r="C21" s="34" t="s">
        <v>214</v>
      </c>
      <c r="D21" s="38"/>
      <c r="E21" s="38"/>
      <c r="F21" s="38"/>
      <c r="G21" s="38"/>
      <c r="H21" s="38"/>
      <c r="I21" s="41"/>
    </row>
    <row r="22" spans="1:9" ht="60" x14ac:dyDescent="0.25">
      <c r="A22" s="33" t="s">
        <v>204</v>
      </c>
      <c r="B22" s="31" t="s">
        <v>219</v>
      </c>
      <c r="C22" s="34" t="s">
        <v>214</v>
      </c>
      <c r="D22" s="38"/>
      <c r="E22" s="38"/>
      <c r="F22" s="38"/>
      <c r="G22" s="38"/>
      <c r="H22" s="38"/>
      <c r="I22" s="41"/>
    </row>
    <row r="23" spans="1:9" ht="60" x14ac:dyDescent="0.25">
      <c r="A23" s="33" t="s">
        <v>208</v>
      </c>
      <c r="B23" s="31" t="s">
        <v>220</v>
      </c>
      <c r="C23" s="34" t="s">
        <v>214</v>
      </c>
      <c r="D23" s="38"/>
      <c r="E23" s="38"/>
      <c r="F23" s="38"/>
      <c r="G23" s="38"/>
      <c r="H23" s="38"/>
      <c r="I23" s="41"/>
    </row>
    <row r="24" spans="1:9" ht="45.75" thickBot="1" x14ac:dyDescent="0.3">
      <c r="A24" s="35" t="s">
        <v>210</v>
      </c>
      <c r="B24" s="36" t="s">
        <v>221</v>
      </c>
      <c r="C24" s="37" t="s">
        <v>214</v>
      </c>
      <c r="D24" s="38"/>
      <c r="E24" s="38"/>
      <c r="F24" s="38"/>
      <c r="G24" s="38"/>
      <c r="H24" s="38"/>
      <c r="I24" s="41"/>
    </row>
    <row r="25" spans="1:9" ht="60.75" thickBot="1" x14ac:dyDescent="0.3">
      <c r="A25" s="35" t="s">
        <v>363</v>
      </c>
      <c r="B25" s="36" t="s">
        <v>364</v>
      </c>
      <c r="C25" s="37" t="s">
        <v>214</v>
      </c>
      <c r="D25" s="39"/>
      <c r="E25" s="39"/>
      <c r="F25" s="39"/>
      <c r="G25" s="39"/>
      <c r="H25" s="39"/>
      <c r="I25" s="4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abSelected="1" topLeftCell="C1" workbookViewId="0">
      <pane ySplit="1" topLeftCell="A2" activePane="bottomLeft" state="frozen"/>
      <selection activeCell="B1" sqref="B1"/>
      <selection pane="bottomLeft" activeCell="F4" sqref="F4"/>
    </sheetView>
  </sheetViews>
  <sheetFormatPr defaultRowHeight="15" x14ac:dyDescent="0.25"/>
  <cols>
    <col min="1" max="1" width="19.140625" bestFit="1" customWidth="1"/>
    <col min="2" max="7" width="30.7109375" customWidth="1"/>
  </cols>
  <sheetData>
    <row r="1" spans="1:9" ht="15.75" thickBot="1" x14ac:dyDescent="0.3">
      <c r="A1" s="61"/>
      <c r="B1" s="55" t="s">
        <v>222</v>
      </c>
      <c r="C1" s="55" t="s">
        <v>223</v>
      </c>
      <c r="D1" s="54" t="s">
        <v>224</v>
      </c>
      <c r="E1" s="103" t="s">
        <v>225</v>
      </c>
      <c r="F1" s="102" t="s">
        <v>226</v>
      </c>
      <c r="G1" s="55" t="s">
        <v>227</v>
      </c>
      <c r="I1" t="s">
        <v>276</v>
      </c>
    </row>
    <row r="2" spans="1:9" x14ac:dyDescent="0.25">
      <c r="A2" s="63" t="s">
        <v>228</v>
      </c>
      <c r="B2" s="64" t="s">
        <v>84</v>
      </c>
      <c r="C2" s="58" t="s">
        <v>65</v>
      </c>
      <c r="D2" s="59" t="s">
        <v>69</v>
      </c>
      <c r="E2" s="101" t="s">
        <v>76</v>
      </c>
      <c r="F2" s="107" t="s">
        <v>96</v>
      </c>
      <c r="G2" s="58" t="s">
        <v>114</v>
      </c>
      <c r="I2" t="s">
        <v>277</v>
      </c>
    </row>
    <row r="3" spans="1:9" x14ac:dyDescent="0.25">
      <c r="A3" s="63" t="s">
        <v>229</v>
      </c>
      <c r="B3" s="65" t="s">
        <v>41</v>
      </c>
      <c r="C3" s="57" t="s">
        <v>435</v>
      </c>
      <c r="D3" s="56" t="s">
        <v>348</v>
      </c>
      <c r="E3" s="104" t="s">
        <v>92</v>
      </c>
      <c r="F3" s="53" t="s">
        <v>461</v>
      </c>
      <c r="G3" s="57" t="s">
        <v>125</v>
      </c>
      <c r="I3" t="s">
        <v>278</v>
      </c>
    </row>
    <row r="4" spans="1:9" x14ac:dyDescent="0.25">
      <c r="A4" s="63" t="s">
        <v>230</v>
      </c>
      <c r="B4" s="57" t="s">
        <v>60</v>
      </c>
      <c r="C4" s="57" t="s">
        <v>21</v>
      </c>
      <c r="D4" s="56" t="s">
        <v>110</v>
      </c>
      <c r="E4" s="104" t="s">
        <v>73</v>
      </c>
      <c r="F4" s="56" t="s">
        <v>104</v>
      </c>
      <c r="G4" s="57" t="s">
        <v>107</v>
      </c>
      <c r="I4" t="s">
        <v>341</v>
      </c>
    </row>
    <row r="5" spans="1:9" ht="15.75" thickBot="1" x14ac:dyDescent="0.3">
      <c r="A5" s="63" t="s">
        <v>231</v>
      </c>
      <c r="B5" s="62" t="s">
        <v>130</v>
      </c>
      <c r="C5" s="62" t="s">
        <v>57</v>
      </c>
      <c r="D5" s="60" t="s">
        <v>17</v>
      </c>
      <c r="E5" s="105" t="s">
        <v>358</v>
      </c>
      <c r="F5" s="108" t="s">
        <v>80</v>
      </c>
      <c r="G5" s="106" t="s">
        <v>368</v>
      </c>
      <c r="I5" t="s">
        <v>282</v>
      </c>
    </row>
    <row r="6" spans="1:9" ht="15.75" thickBot="1" x14ac:dyDescent="0.3">
      <c r="A6" s="86" t="s">
        <v>232</v>
      </c>
      <c r="B6" s="87" t="s">
        <v>98</v>
      </c>
      <c r="C6" s="88" t="s">
        <v>34</v>
      </c>
      <c r="D6" s="89" t="s">
        <v>67</v>
      </c>
      <c r="E6" s="90" t="s">
        <v>105</v>
      </c>
      <c r="F6" s="82" t="s">
        <v>58</v>
      </c>
      <c r="G6" s="91" t="s">
        <v>112</v>
      </c>
      <c r="I6" t="s">
        <v>283</v>
      </c>
    </row>
    <row r="7" spans="1:9" ht="15.75" thickBot="1" x14ac:dyDescent="0.3">
      <c r="A7" s="66" t="s">
        <v>233</v>
      </c>
      <c r="B7" s="66" t="s">
        <v>234</v>
      </c>
      <c r="C7" s="63" t="s">
        <v>309</v>
      </c>
      <c r="D7" t="s">
        <v>235</v>
      </c>
      <c r="E7" s="63" t="s">
        <v>236</v>
      </c>
      <c r="F7" t="s">
        <v>237</v>
      </c>
      <c r="G7" s="63" t="s">
        <v>157</v>
      </c>
      <c r="I7" t="s">
        <v>287</v>
      </c>
    </row>
    <row r="8" spans="1:9" x14ac:dyDescent="0.25">
      <c r="A8" s="84" t="s">
        <v>284</v>
      </c>
      <c r="B8" s="84" t="s">
        <v>225</v>
      </c>
      <c r="C8" s="80" t="s">
        <v>226</v>
      </c>
      <c r="D8" s="84" t="s">
        <v>227</v>
      </c>
      <c r="E8" s="80" t="s">
        <v>222</v>
      </c>
      <c r="F8" s="84" t="s">
        <v>223</v>
      </c>
      <c r="G8" s="81" t="s">
        <v>224</v>
      </c>
      <c r="I8" t="s">
        <v>288</v>
      </c>
    </row>
    <row r="9" spans="1:9" x14ac:dyDescent="0.25">
      <c r="A9" s="53" t="s">
        <v>285</v>
      </c>
      <c r="B9" s="53" t="s">
        <v>226</v>
      </c>
      <c r="C9" t="s">
        <v>224</v>
      </c>
      <c r="D9" s="53" t="s">
        <v>223</v>
      </c>
      <c r="E9" t="s">
        <v>227</v>
      </c>
      <c r="F9" s="53" t="s">
        <v>222</v>
      </c>
      <c r="G9" s="65" t="s">
        <v>225</v>
      </c>
    </row>
    <row r="10" spans="1:9" ht="15.75" thickBot="1" x14ac:dyDescent="0.3">
      <c r="A10" s="85" t="s">
        <v>286</v>
      </c>
      <c r="B10" s="85" t="s">
        <v>224</v>
      </c>
      <c r="C10" s="82" t="s">
        <v>227</v>
      </c>
      <c r="D10" s="85" t="s">
        <v>222</v>
      </c>
      <c r="E10" s="82" t="s">
        <v>226</v>
      </c>
      <c r="F10" s="85" t="s">
        <v>225</v>
      </c>
      <c r="G10" s="83" t="s">
        <v>223</v>
      </c>
    </row>
    <row r="12" spans="1:9" x14ac:dyDescent="0.25">
      <c r="A12" s="3" t="s">
        <v>308</v>
      </c>
    </row>
    <row r="13" spans="1:9" x14ac:dyDescent="0.25">
      <c r="A13" s="3" t="s">
        <v>310</v>
      </c>
      <c r="B13" s="2" t="s">
        <v>439</v>
      </c>
      <c r="C13" s="2" t="s">
        <v>400</v>
      </c>
      <c r="D13" s="2" t="s">
        <v>289</v>
      </c>
      <c r="E13" s="2" t="s">
        <v>440</v>
      </c>
      <c r="F13" s="2" t="s">
        <v>296</v>
      </c>
      <c r="G13" s="2" t="s">
        <v>455</v>
      </c>
    </row>
    <row r="14" spans="1:9" x14ac:dyDescent="0.25">
      <c r="A14" s="3"/>
      <c r="B14" s="2" t="s">
        <v>289</v>
      </c>
      <c r="C14" s="2" t="s">
        <v>441</v>
      </c>
      <c r="D14" s="2" t="s">
        <v>295</v>
      </c>
      <c r="E14" s="2" t="s">
        <v>397</v>
      </c>
      <c r="F14" s="2" t="s">
        <v>442</v>
      </c>
      <c r="G14" s="2" t="s">
        <v>298</v>
      </c>
    </row>
    <row r="15" spans="1:9" x14ac:dyDescent="0.25">
      <c r="A15" s="3"/>
      <c r="B15" s="2" t="s">
        <v>443</v>
      </c>
      <c r="C15" s="2" t="s">
        <v>183</v>
      </c>
      <c r="D15" s="2" t="s">
        <v>291</v>
      </c>
      <c r="E15" s="2" t="s">
        <v>444</v>
      </c>
      <c r="F15" s="2" t="s">
        <v>445</v>
      </c>
      <c r="G15" s="2" t="s">
        <v>290</v>
      </c>
    </row>
    <row r="16" spans="1:9" ht="30" x14ac:dyDescent="0.25">
      <c r="A16" s="3"/>
      <c r="B16" s="2" t="s">
        <v>446</v>
      </c>
      <c r="C16" s="2" t="s">
        <v>447</v>
      </c>
      <c r="D16" s="2" t="s">
        <v>178</v>
      </c>
      <c r="E16" s="2" t="s">
        <v>183</v>
      </c>
      <c r="F16" s="2" t="s">
        <v>455</v>
      </c>
      <c r="G16" s="2" t="s">
        <v>447</v>
      </c>
    </row>
    <row r="17" spans="1:9" x14ac:dyDescent="0.25">
      <c r="A17" s="3"/>
      <c r="B17" s="2"/>
      <c r="C17" s="2"/>
      <c r="D17" s="2"/>
      <c r="E17" s="2"/>
      <c r="F17" s="2"/>
      <c r="G17" s="2"/>
    </row>
    <row r="18" spans="1:9" ht="30" x14ac:dyDescent="0.25">
      <c r="A18" s="3" t="s">
        <v>311</v>
      </c>
      <c r="B18" s="2" t="s">
        <v>183</v>
      </c>
      <c r="C18" s="3" t="s">
        <v>313</v>
      </c>
      <c r="D18" s="2" t="s">
        <v>293</v>
      </c>
      <c r="E18" s="2" t="s">
        <v>399</v>
      </c>
      <c r="F18" s="2" t="s">
        <v>292</v>
      </c>
      <c r="G18" s="2" t="s">
        <v>400</v>
      </c>
      <c r="I18" t="s">
        <v>405</v>
      </c>
    </row>
    <row r="19" spans="1:9" x14ac:dyDescent="0.25">
      <c r="A19" s="3"/>
      <c r="B19" s="2" t="s">
        <v>449</v>
      </c>
      <c r="C19" s="2" t="s">
        <v>398</v>
      </c>
      <c r="D19" s="2" t="s">
        <v>289</v>
      </c>
      <c r="E19" s="2" t="s">
        <v>289</v>
      </c>
      <c r="F19" s="2" t="s">
        <v>296</v>
      </c>
      <c r="G19" s="2" t="s">
        <v>291</v>
      </c>
      <c r="I19" t="s">
        <v>294</v>
      </c>
    </row>
    <row r="20" spans="1:9" x14ac:dyDescent="0.25">
      <c r="A20" s="3"/>
      <c r="B20" s="2" t="s">
        <v>289</v>
      </c>
      <c r="C20" s="2" t="s">
        <v>401</v>
      </c>
      <c r="D20" s="2" t="s">
        <v>290</v>
      </c>
      <c r="E20" t="s">
        <v>449</v>
      </c>
      <c r="F20" s="2" t="s">
        <v>343</v>
      </c>
      <c r="G20" s="2" t="s">
        <v>298</v>
      </c>
    </row>
    <row r="21" spans="1:9" ht="30" x14ac:dyDescent="0.25">
      <c r="A21" s="3"/>
      <c r="B21" s="2"/>
      <c r="C21" s="2" t="s">
        <v>289</v>
      </c>
      <c r="D21" t="s">
        <v>404</v>
      </c>
      <c r="E21" s="2" t="s">
        <v>438</v>
      </c>
      <c r="F21" s="2" t="s">
        <v>290</v>
      </c>
      <c r="G21" s="2" t="s">
        <v>290</v>
      </c>
    </row>
    <row r="22" spans="1:9" x14ac:dyDescent="0.25">
      <c r="A22" s="3"/>
      <c r="B22" s="2"/>
      <c r="D22" s="2" t="s">
        <v>307</v>
      </c>
      <c r="G22" s="2"/>
    </row>
    <row r="23" spans="1:9" x14ac:dyDescent="0.25">
      <c r="A23" s="3"/>
      <c r="B23" s="2"/>
      <c r="D23" s="2"/>
      <c r="E23" s="2"/>
      <c r="F23" s="2"/>
      <c r="G23" s="2"/>
    </row>
    <row r="24" spans="1:9" ht="30" x14ac:dyDescent="0.25">
      <c r="A24" s="3" t="s">
        <v>312</v>
      </c>
      <c r="B24" s="2" t="s">
        <v>301</v>
      </c>
      <c r="C24" s="2" t="s">
        <v>217</v>
      </c>
      <c r="D24" s="2" t="s">
        <v>190</v>
      </c>
      <c r="E24" s="2" t="s">
        <v>297</v>
      </c>
      <c r="F24" s="2" t="s">
        <v>407</v>
      </c>
      <c r="G24" s="2" t="s">
        <v>305</v>
      </c>
      <c r="I24" t="s">
        <v>405</v>
      </c>
    </row>
    <row r="25" spans="1:9" x14ac:dyDescent="0.25">
      <c r="A25" s="3"/>
      <c r="B25" s="2" t="s">
        <v>198</v>
      </c>
      <c r="C25" s="2" t="s">
        <v>201</v>
      </c>
      <c r="D25" s="2" t="s">
        <v>301</v>
      </c>
      <c r="E25" s="2" t="s">
        <v>316</v>
      </c>
      <c r="F25" s="2" t="s">
        <v>448</v>
      </c>
      <c r="G25" s="2" t="s">
        <v>411</v>
      </c>
      <c r="I25" t="s">
        <v>294</v>
      </c>
    </row>
    <row r="26" spans="1:9" x14ac:dyDescent="0.25">
      <c r="A26" s="3"/>
      <c r="B26" s="2" t="s">
        <v>410</v>
      </c>
      <c r="C26" s="2" t="s">
        <v>215</v>
      </c>
      <c r="D26" s="2" t="s">
        <v>198</v>
      </c>
      <c r="E26" t="s">
        <v>409</v>
      </c>
      <c r="F26" s="2" t="s">
        <v>198</v>
      </c>
      <c r="G26" s="2" t="s">
        <v>299</v>
      </c>
      <c r="I26" t="s">
        <v>303</v>
      </c>
    </row>
    <row r="27" spans="1:9" x14ac:dyDescent="0.25">
      <c r="A27" s="3"/>
      <c r="B27" s="2"/>
      <c r="C27" s="2" t="s">
        <v>300</v>
      </c>
      <c r="D27" s="2" t="s">
        <v>411</v>
      </c>
      <c r="F27" s="2" t="s">
        <v>301</v>
      </c>
      <c r="G27" s="2"/>
      <c r="I27" t="s">
        <v>302</v>
      </c>
    </row>
    <row r="28" spans="1:9" x14ac:dyDescent="0.25">
      <c r="A28" s="3"/>
      <c r="B28" s="1"/>
      <c r="C28" s="1"/>
      <c r="D28" s="1"/>
      <c r="E28" s="2"/>
      <c r="F28" s="1"/>
      <c r="G28" s="1"/>
      <c r="I28" t="s">
        <v>408</v>
      </c>
    </row>
    <row r="29" spans="1:9" x14ac:dyDescent="0.25">
      <c r="A29" s="3"/>
      <c r="B29" s="1"/>
      <c r="C29" s="1"/>
      <c r="D29" s="1"/>
      <c r="E29" s="1"/>
      <c r="F29" s="1"/>
      <c r="G29" s="1"/>
      <c r="I29" t="s">
        <v>412</v>
      </c>
    </row>
    <row r="30" spans="1:9" x14ac:dyDescent="0.25">
      <c r="A30" s="3"/>
      <c r="B30" s="1"/>
      <c r="C30" s="1"/>
      <c r="D30" s="1"/>
      <c r="E30" s="1"/>
      <c r="F30" s="1"/>
      <c r="G30" s="1"/>
    </row>
    <row r="31" spans="1:9" x14ac:dyDescent="0.25">
      <c r="B31" s="1"/>
      <c r="C31" s="1"/>
      <c r="D31" s="1"/>
      <c r="E31" s="1"/>
      <c r="F31" s="1"/>
      <c r="G31" s="1"/>
    </row>
    <row r="34" spans="2:7" x14ac:dyDescent="0.25">
      <c r="B34" s="2"/>
      <c r="C34" s="2"/>
      <c r="D34" s="2"/>
      <c r="E34" s="2"/>
      <c r="F34" s="2"/>
      <c r="G34" s="2"/>
    </row>
    <row r="35" spans="2:7" x14ac:dyDescent="0.25">
      <c r="B35" s="2"/>
      <c r="C35" s="2"/>
      <c r="D35" s="2"/>
      <c r="E35" s="2"/>
      <c r="F35" s="2"/>
      <c r="G35" s="2"/>
    </row>
    <row r="36" spans="2:7" x14ac:dyDescent="0.25">
      <c r="B36" s="2"/>
      <c r="C36" s="2"/>
      <c r="D36" s="2"/>
      <c r="E36" s="2"/>
      <c r="F36" s="2"/>
      <c r="G36" s="2"/>
    </row>
    <row r="37" spans="2:7" x14ac:dyDescent="0.25">
      <c r="B37" s="2"/>
      <c r="C37" s="2"/>
      <c r="D37" s="2"/>
      <c r="E37" s="2"/>
      <c r="F37" s="2"/>
      <c r="G37" s="2"/>
    </row>
    <row r="39" spans="2:7" x14ac:dyDescent="0.25">
      <c r="B39" s="2"/>
      <c r="C39" s="2"/>
      <c r="D39" s="2"/>
      <c r="E39" s="2"/>
      <c r="F39" s="2"/>
      <c r="G39" s="2"/>
    </row>
    <row r="40" spans="2:7" x14ac:dyDescent="0.25">
      <c r="B40" s="2"/>
      <c r="C40" s="2"/>
      <c r="D40" s="2"/>
      <c r="E40" s="2"/>
      <c r="F40" s="2"/>
      <c r="G40" s="2"/>
    </row>
    <row r="41" spans="2:7" x14ac:dyDescent="0.25">
      <c r="B41" s="2"/>
      <c r="C41" s="2"/>
      <c r="D41" s="2"/>
      <c r="E41" s="2"/>
      <c r="F41" s="2"/>
      <c r="G41" s="2"/>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B45" s="2"/>
      <c r="C45" s="2"/>
      <c r="D45" s="2"/>
      <c r="E45" s="2"/>
      <c r="F45" s="2"/>
      <c r="G45" s="2"/>
    </row>
    <row r="46" spans="2:7" x14ac:dyDescent="0.25">
      <c r="B46" s="2"/>
      <c r="C46" s="2"/>
      <c r="D46" s="2"/>
      <c r="E46" s="2"/>
      <c r="F46" s="2"/>
      <c r="G46" s="2"/>
    </row>
    <row r="47" spans="2:7" x14ac:dyDescent="0.25">
      <c r="B47" s="2"/>
      <c r="C47" s="2"/>
      <c r="D47" s="2"/>
      <c r="E47" s="2"/>
      <c r="F47" s="2"/>
      <c r="G47" s="2"/>
    </row>
    <row r="48" spans="2:7" x14ac:dyDescent="0.25">
      <c r="B48" s="3"/>
      <c r="C48" s="2"/>
      <c r="D48" s="2"/>
      <c r="E48" s="2"/>
      <c r="F48" s="2"/>
      <c r="G48" s="2"/>
    </row>
    <row r="49" spans="2:4" x14ac:dyDescent="0.25">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topLeftCell="A4" zoomScaleNormal="100" workbookViewId="0">
      <selection activeCell="H8" sqref="H8"/>
    </sheetView>
  </sheetViews>
  <sheetFormatPr defaultColWidth="9.140625" defaultRowHeight="36" x14ac:dyDescent="0.55000000000000004"/>
  <cols>
    <col min="1" max="6" width="30.7109375" style="26" customWidth="1"/>
    <col min="7" max="16384" width="9.140625" style="26"/>
  </cols>
  <sheetData>
    <row r="1" spans="1:6" ht="99.95" customHeight="1" thickBot="1" x14ac:dyDescent="0.6">
      <c r="A1" s="127" t="s">
        <v>240</v>
      </c>
      <c r="B1" s="128"/>
      <c r="C1" s="128"/>
      <c r="D1" s="128"/>
      <c r="E1" s="128"/>
      <c r="F1" s="129"/>
    </row>
    <row r="2" spans="1:6" ht="99.95" customHeight="1" thickBot="1" x14ac:dyDescent="0.6">
      <c r="A2" s="123" t="s">
        <v>456</v>
      </c>
      <c r="B2" s="123" t="s">
        <v>456</v>
      </c>
      <c r="C2" s="123" t="s">
        <v>456</v>
      </c>
      <c r="D2" s="123" t="s">
        <v>456</v>
      </c>
      <c r="E2" s="123" t="s">
        <v>456</v>
      </c>
      <c r="F2" s="123" t="s">
        <v>456</v>
      </c>
    </row>
    <row r="3" spans="1:6" ht="99.95" customHeight="1" thickBot="1" x14ac:dyDescent="0.6">
      <c r="A3" s="115">
        <v>0</v>
      </c>
      <c r="B3" s="116">
        <v>1</v>
      </c>
      <c r="C3" s="116">
        <v>2</v>
      </c>
      <c r="D3" s="115">
        <v>3</v>
      </c>
      <c r="E3" s="116">
        <v>4</v>
      </c>
      <c r="F3" s="115">
        <v>5</v>
      </c>
    </row>
    <row r="4" spans="1:6" ht="99.95" customHeight="1" thickBot="1" x14ac:dyDescent="0.6">
      <c r="A4" s="117">
        <v>25</v>
      </c>
      <c r="B4" s="28" t="s">
        <v>449</v>
      </c>
      <c r="C4" s="28" t="s">
        <v>186</v>
      </c>
      <c r="D4" s="29" t="s">
        <v>190</v>
      </c>
      <c r="E4" s="28" t="s">
        <v>301</v>
      </c>
      <c r="F4" s="117">
        <v>6</v>
      </c>
    </row>
    <row r="5" spans="1:6" ht="99.95" customHeight="1" thickBot="1" x14ac:dyDescent="0.6">
      <c r="A5" s="118">
        <v>24</v>
      </c>
      <c r="B5" s="27" t="s">
        <v>168</v>
      </c>
      <c r="C5" s="27" t="s">
        <v>174</v>
      </c>
      <c r="D5" s="111" t="s">
        <v>178</v>
      </c>
      <c r="E5" s="27" t="s">
        <v>183</v>
      </c>
      <c r="F5" s="117">
        <v>7</v>
      </c>
    </row>
    <row r="6" spans="1:6" ht="99.95" customHeight="1" thickBot="1" x14ac:dyDescent="0.6">
      <c r="A6" s="117">
        <v>23</v>
      </c>
      <c r="B6" s="28" t="s">
        <v>198</v>
      </c>
      <c r="C6" s="28" t="s">
        <v>201</v>
      </c>
      <c r="D6" s="29" t="s">
        <v>321</v>
      </c>
      <c r="E6" s="28" t="s">
        <v>197</v>
      </c>
      <c r="F6" s="120">
        <v>8</v>
      </c>
    </row>
    <row r="7" spans="1:6" ht="99.95" customHeight="1" thickBot="1" x14ac:dyDescent="0.6">
      <c r="A7" s="118">
        <v>22</v>
      </c>
      <c r="B7" s="30" t="s">
        <v>204</v>
      </c>
      <c r="C7" s="30" t="s">
        <v>208</v>
      </c>
      <c r="D7" s="52" t="s">
        <v>210</v>
      </c>
      <c r="E7" s="30" t="s">
        <v>363</v>
      </c>
      <c r="F7" s="117">
        <v>9</v>
      </c>
    </row>
    <row r="8" spans="1:6" ht="99.95" customHeight="1" thickBot="1" x14ac:dyDescent="0.6">
      <c r="A8" s="117">
        <v>21</v>
      </c>
      <c r="B8" s="98" t="s">
        <v>238</v>
      </c>
      <c r="C8" s="124" t="s">
        <v>239</v>
      </c>
      <c r="D8" s="125"/>
      <c r="E8" s="126"/>
      <c r="F8" s="120">
        <v>10</v>
      </c>
    </row>
    <row r="9" spans="1:6" ht="99.95" customHeight="1" thickBot="1" x14ac:dyDescent="0.6">
      <c r="A9" s="118">
        <v>20</v>
      </c>
      <c r="B9" s="109" t="s">
        <v>204</v>
      </c>
      <c r="C9" s="28" t="s">
        <v>208</v>
      </c>
      <c r="D9" s="29" t="s">
        <v>210</v>
      </c>
      <c r="E9" s="110" t="s">
        <v>363</v>
      </c>
      <c r="F9" s="117">
        <v>11</v>
      </c>
    </row>
    <row r="10" spans="1:6" ht="99.95" customHeight="1" thickBot="1" x14ac:dyDescent="0.6">
      <c r="A10" s="117">
        <v>19</v>
      </c>
      <c r="B10" s="112" t="s">
        <v>212</v>
      </c>
      <c r="C10" s="113" t="s">
        <v>215</v>
      </c>
      <c r="D10" s="114" t="s">
        <v>343</v>
      </c>
      <c r="E10" s="113" t="s">
        <v>217</v>
      </c>
      <c r="F10" s="120">
        <v>12</v>
      </c>
    </row>
    <row r="11" spans="1:6" ht="99.95" customHeight="1" thickBot="1" x14ac:dyDescent="0.6">
      <c r="A11" s="119">
        <v>18</v>
      </c>
      <c r="B11" s="121">
        <v>17</v>
      </c>
      <c r="C11" s="122">
        <v>16</v>
      </c>
      <c r="D11" s="121">
        <v>15</v>
      </c>
      <c r="E11" s="122">
        <v>14</v>
      </c>
      <c r="F11" s="117">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109375" defaultRowHeight="15" customHeight="1" x14ac:dyDescent="0.25"/>
  <cols>
    <col min="1" max="1" width="19.7109375" style="53"/>
    <col min="2" max="2" width="19.7109375" style="65"/>
    <col min="4" max="4" width="19.7109375" style="53"/>
    <col min="6" max="6" width="19.7109375" style="53"/>
    <col min="8" max="8" width="19.7109375" style="53"/>
    <col min="10" max="10" width="19.7109375" style="53"/>
    <col min="12" max="12" width="19.7109375" style="53"/>
    <col min="14" max="14" width="19.7109375" style="53"/>
    <col min="16" max="16" width="19.7109375" style="53"/>
    <col min="18" max="18" width="19.7109375" style="53"/>
    <col min="20" max="20" width="19.7109375" style="53"/>
    <col min="22" max="22" width="19.7109375" style="53"/>
    <col min="24" max="24" width="19.7109375" style="53"/>
    <col min="26" max="26" width="19.7109375" style="53"/>
    <col min="28" max="28" width="19.7109375" style="53"/>
    <col min="30" max="30" width="19.7109375" style="71"/>
    <col min="31" max="32" width="19.7109375" style="53" bestFit="1" customWidth="1"/>
    <col min="33" max="33" width="19.7109375" bestFit="1" customWidth="1"/>
    <col min="34" max="34" width="19.7109375" style="53" bestFit="1" customWidth="1"/>
    <col min="35" max="35" width="19.7109375" bestFit="1" customWidth="1"/>
    <col min="36" max="36" width="19.7109375" style="53" bestFit="1" customWidth="1"/>
    <col min="37" max="37" width="19.7109375" bestFit="1" customWidth="1"/>
    <col min="38" max="38" width="19.7109375" style="53" bestFit="1" customWidth="1"/>
    <col min="39" max="39" width="19.7109375" bestFit="1" customWidth="1"/>
    <col min="40" max="40" width="19.7109375" style="53" bestFit="1" customWidth="1"/>
    <col min="41" max="41" width="19.7109375" customWidth="1"/>
    <col min="42" max="42" width="19.7109375" style="53" bestFit="1" customWidth="1"/>
    <col min="43" max="43" width="19.7109375" bestFit="1" customWidth="1"/>
    <col min="44" max="44" width="19.7109375" style="53" bestFit="1" customWidth="1"/>
    <col min="45" max="45" width="19.7109375" bestFit="1" customWidth="1"/>
    <col min="46" max="46" width="19.7109375" style="53" bestFit="1" customWidth="1"/>
    <col min="47" max="47" width="19.7109375" bestFit="1" customWidth="1"/>
    <col min="48" max="48" width="19.7109375" style="53" bestFit="1" customWidth="1"/>
    <col min="49" max="49" width="19.7109375" bestFit="1" customWidth="1"/>
    <col min="50" max="50" width="19.7109375" style="71" bestFit="1" customWidth="1"/>
    <col min="51" max="51" width="19.7109375" style="53" bestFit="1" customWidth="1"/>
    <col min="52" max="52" width="19.7109375" bestFit="1" customWidth="1"/>
    <col min="53" max="53" width="19.7109375" style="53" bestFit="1" customWidth="1"/>
    <col min="54" max="54" width="19.7109375" bestFit="1" customWidth="1"/>
    <col min="55" max="55" width="19.7109375" style="53" bestFit="1" customWidth="1"/>
    <col min="56" max="56" width="19.7109375" bestFit="1" customWidth="1"/>
    <col min="57" max="57" width="19.7109375" style="53" bestFit="1" customWidth="1"/>
    <col min="58" max="58" width="19.7109375" bestFit="1" customWidth="1"/>
    <col min="59" max="59" width="19.7109375" style="53" bestFit="1" customWidth="1"/>
    <col min="60" max="60" width="19.7109375" style="71" bestFit="1" customWidth="1"/>
    <col min="61" max="61" width="19.7109375" style="53"/>
    <col min="63" max="63" width="19.7109375" style="53"/>
    <col min="65" max="65" width="19.7109375" style="53"/>
    <col min="67" max="67" width="19.7109375" style="53"/>
    <col min="69" max="70" width="19.7109375" style="53"/>
    <col min="71" max="71" width="19.7109375" style="65"/>
    <col min="73" max="73" width="19.7109375" style="53"/>
    <col min="75" max="75" width="19.7109375" style="53"/>
    <col min="77" max="77" width="19.7109375" style="53"/>
    <col min="79" max="79" width="19.7109375" style="53"/>
  </cols>
  <sheetData>
    <row r="1" spans="1:79" s="69" customFormat="1" ht="39.950000000000003" customHeight="1" x14ac:dyDescent="0.25">
      <c r="A1" s="67" t="str">
        <f>Cards!B2</f>
        <v>Fillibuster</v>
      </c>
      <c r="B1" s="68" t="str">
        <f>Cards!B3</f>
        <v>Skillful Orators</v>
      </c>
      <c r="C1" s="69" t="str">
        <f>Cards!B4</f>
        <v>Collection Stations</v>
      </c>
      <c r="D1" s="67" t="str">
        <f>Cards!B5</f>
        <v>Brown Nose</v>
      </c>
      <c r="E1" s="69" t="str">
        <f>Cards!B6</f>
        <v>Mysterious Windfalls</v>
      </c>
      <c r="F1" s="67" t="str">
        <f>Cards!B7</f>
        <v>Lobbyists</v>
      </c>
      <c r="G1" s="69" t="str">
        <f>Cards!B8</f>
        <v>Loyal Citizenry</v>
      </c>
      <c r="H1" s="67" t="str">
        <f>Cards!B9</f>
        <v>Silver-Tongue</v>
      </c>
      <c r="I1" s="69" t="str">
        <f>Cards!B8</f>
        <v>Loyal Citizenry</v>
      </c>
      <c r="J1" s="67" t="str">
        <f>Cards!B9</f>
        <v>Silver-Tongue</v>
      </c>
      <c r="K1" s="69" t="str">
        <f>Cards!B10</f>
        <v>Royal Bribes</v>
      </c>
      <c r="L1" s="67" t="str">
        <f>Cards!B11</f>
        <v>Courtroom Gambling</v>
      </c>
      <c r="M1" s="69" t="str">
        <f>Cards!B12</f>
        <v>Market Niche</v>
      </c>
      <c r="N1" s="67" t="str">
        <f>Cards!B13</f>
        <v>Genius Commanders</v>
      </c>
      <c r="O1" s="69" t="str">
        <f>Cards!B14</f>
        <v>Damage Redemption</v>
      </c>
      <c r="P1" s="67" t="str">
        <f>Cards!B15</f>
        <v>Inspiring Command</v>
      </c>
      <c r="Q1" s="69" t="str">
        <f>Cards!B16</f>
        <v>Undeniable Advisors</v>
      </c>
      <c r="R1" s="67" t="str">
        <f>Cards!B17</f>
        <v>Bulk Purchaser</v>
      </c>
      <c r="S1" s="69" t="str">
        <f>Cards!B18</f>
        <v>Valuable Cargo</v>
      </c>
      <c r="T1" s="67" t="str">
        <f>Cards!B19</f>
        <v>Elite Troops</v>
      </c>
      <c r="U1" s="69" t="str">
        <f>Cards!B20</f>
        <v>Bazaar</v>
      </c>
      <c r="V1" s="67" t="str">
        <f>Cards!B21</f>
        <v>Caravansaray</v>
      </c>
      <c r="W1" s="69" t="str">
        <f>Cards!B22</f>
        <v>War Machines</v>
      </c>
      <c r="X1" s="67" t="str">
        <f>Cards!B23</f>
        <v>Boasting Propaganda</v>
      </c>
      <c r="Y1" s="69" t="str">
        <f>Cards!B24</f>
        <v>Mock Trials</v>
      </c>
      <c r="Z1" s="67" t="str">
        <f>Cards!B25</f>
        <v>Eager Laborers</v>
      </c>
      <c r="AA1" s="69" t="str">
        <f>Cards!B26</f>
        <v>Wary Guards</v>
      </c>
      <c r="AB1" s="67" t="str">
        <f>Cards!B27</f>
        <v>Information Security</v>
      </c>
      <c r="AC1" s="69" t="str">
        <f>Cards!B28</f>
        <v>Blood Pact</v>
      </c>
      <c r="AD1" s="70" t="str">
        <f>Cards!B29</f>
        <v>Expert Broker</v>
      </c>
      <c r="AE1" s="67" t="str">
        <f>Cards!B30</f>
        <v>Codependent Relationship</v>
      </c>
      <c r="AF1" s="67" t="str">
        <f>Cards!B31</f>
        <v>Dangerous Promises</v>
      </c>
      <c r="AG1" s="69" t="str">
        <f>Cards!B32</f>
        <v>Large Middle Class</v>
      </c>
      <c r="AH1" s="67" t="str">
        <f>Cards!B33</f>
        <v>Innovation Hub</v>
      </c>
      <c r="AI1" s="69" t="str">
        <f>Cards!B34</f>
        <v>Fire Temple</v>
      </c>
      <c r="AJ1" s="67" t="str">
        <f>Cards!B35</f>
        <v>Kingdom Advocates</v>
      </c>
      <c r="AK1" s="69" t="str">
        <f>Cards!B36</f>
        <v>One Man's Trash</v>
      </c>
      <c r="AL1" s="67" t="str">
        <f>Cards!B37</f>
        <v>Abusive Power</v>
      </c>
      <c r="AM1" s="69" t="str">
        <f>Cards!B38</f>
        <v>Painful Progress</v>
      </c>
      <c r="AN1" s="67" t="str">
        <f>Cards!B39</f>
        <v>Iron Command</v>
      </c>
      <c r="AO1" s="69" t="str">
        <f t="shared" ref="AO1:AX2" si="0">A1</f>
        <v>Fillibuster</v>
      </c>
      <c r="AP1" s="67" t="str">
        <f t="shared" si="0"/>
        <v>Skillful Orators</v>
      </c>
      <c r="AQ1" s="69" t="str">
        <f t="shared" si="0"/>
        <v>Collection Stations</v>
      </c>
      <c r="AR1" s="67" t="str">
        <f t="shared" si="0"/>
        <v>Brown Nose</v>
      </c>
      <c r="AS1" s="69" t="str">
        <f t="shared" si="0"/>
        <v>Mysterious Windfalls</v>
      </c>
      <c r="AT1" s="67" t="str">
        <f t="shared" si="0"/>
        <v>Lobbyists</v>
      </c>
      <c r="AU1" s="69" t="str">
        <f t="shared" si="0"/>
        <v>Loyal Citizenry</v>
      </c>
      <c r="AV1" s="67" t="str">
        <f t="shared" si="0"/>
        <v>Silver-Tongue</v>
      </c>
      <c r="AW1" s="69" t="str">
        <f t="shared" si="0"/>
        <v>Loyal Citizenry</v>
      </c>
      <c r="AX1" s="70" t="str">
        <f t="shared" si="0"/>
        <v>Silver-Tongue</v>
      </c>
      <c r="AY1" s="67" t="str">
        <f t="shared" ref="AY1:BH2" si="1">K1</f>
        <v>Royal Bribes</v>
      </c>
      <c r="AZ1" s="69" t="str">
        <f t="shared" si="1"/>
        <v>Courtroom Gambling</v>
      </c>
      <c r="BA1" s="67" t="str">
        <f t="shared" si="1"/>
        <v>Market Niche</v>
      </c>
      <c r="BB1" s="69" t="str">
        <f t="shared" si="1"/>
        <v>Genius Commanders</v>
      </c>
      <c r="BC1" s="67" t="str">
        <f t="shared" si="1"/>
        <v>Damage Redemption</v>
      </c>
      <c r="BD1" s="69" t="str">
        <f t="shared" si="1"/>
        <v>Inspiring Command</v>
      </c>
      <c r="BE1" s="67" t="str">
        <f t="shared" si="1"/>
        <v>Undeniable Advisors</v>
      </c>
      <c r="BF1" s="69" t="str">
        <f t="shared" si="1"/>
        <v>Bulk Purchaser</v>
      </c>
      <c r="BG1" s="67" t="str">
        <f t="shared" si="1"/>
        <v>Valuable Cargo</v>
      </c>
      <c r="BH1" s="70" t="str">
        <f t="shared" si="1"/>
        <v>Elite Troops</v>
      </c>
      <c r="BI1" s="67" t="str">
        <f t="shared" ref="BI1:BR2" si="2">U1</f>
        <v>Bazaar</v>
      </c>
      <c r="BJ1" s="69" t="str">
        <f t="shared" si="2"/>
        <v>Caravansaray</v>
      </c>
      <c r="BK1" s="67" t="str">
        <f t="shared" si="2"/>
        <v>War Machines</v>
      </c>
      <c r="BL1" s="69" t="str">
        <f t="shared" si="2"/>
        <v>Boasting Propaganda</v>
      </c>
      <c r="BM1" s="67" t="str">
        <f t="shared" si="2"/>
        <v>Mock Trials</v>
      </c>
      <c r="BN1" s="69" t="str">
        <f t="shared" si="2"/>
        <v>Eager Laborers</v>
      </c>
      <c r="BO1" s="67" t="str">
        <f t="shared" si="2"/>
        <v>Wary Guards</v>
      </c>
      <c r="BP1" s="69" t="str">
        <f t="shared" si="2"/>
        <v>Information Security</v>
      </c>
      <c r="BQ1" s="67" t="str">
        <f t="shared" si="2"/>
        <v>Blood Pact</v>
      </c>
      <c r="BR1" s="67" t="str">
        <f t="shared" si="2"/>
        <v>Expert Broker</v>
      </c>
      <c r="BS1" s="67"/>
      <c r="BU1" s="67"/>
      <c r="BW1" s="67"/>
      <c r="BY1" s="67"/>
      <c r="CA1" s="67"/>
    </row>
    <row r="2" spans="1:79" s="92" customFormat="1" ht="105.75" customHeight="1" thickBot="1" x14ac:dyDescent="0.3">
      <c r="A2" s="93" t="str">
        <f>Cards!C2</f>
        <v>Move the deliberated Law $L6 additional places back in the queue during Postpone</v>
      </c>
      <c r="B2" s="93" t="str">
        <f>Cards!C3</f>
        <v>Move the Law $L6 additional places forward in the queue during Prioritize</v>
      </c>
      <c r="C2" s="92" t="str">
        <f>Cards!C4</f>
        <v xml:space="preserve">You may keep up to $L6 additional Coins when Taxing other Players </v>
      </c>
      <c r="D2" s="93" t="str">
        <f>Cards!C5</f>
        <v>Gain $L3 additional Coins during Flatter</v>
      </c>
      <c r="E2" s="92" t="str">
        <f>Cards!C6</f>
        <v>Gain $L3 more Commodities per Coin when Buying from the Undermarket</v>
      </c>
      <c r="F2" s="93" t="str">
        <f>Cards!C7</f>
        <v>Add $L3 additional Law cards to the bottom of the queue during Petition</v>
      </c>
      <c r="G2" s="92" t="str">
        <f>Cards!C8</f>
        <v>Purchase up to $L6 additional Troops during Recruit (at normal cost)</v>
      </c>
      <c r="H2" s="93" t="str">
        <f>Cards!C9</f>
        <v>Purchase up to $L6 additional Spies during Infiltrate (at normal cost)</v>
      </c>
      <c r="I2" s="93" t="str">
        <f>Cards!C8</f>
        <v>Purchase up to $L6 additional Troops during Recruit (at normal cost)</v>
      </c>
      <c r="J2" s="93" t="str">
        <f>Cards!C9</f>
        <v>Purchase up to $L6 additional Spies during Infiltrate (at normal cost)</v>
      </c>
      <c r="K2" s="92" t="str">
        <f>Cards!C10</f>
        <v>Gain $L3 more Commodities per Coin when Buying from the Court</v>
      </c>
      <c r="L2" s="93" t="str">
        <f>Cards!C11</f>
        <v>Gain $L3 additional Coins from outside the Royal Bank when winning a Trial</v>
      </c>
      <c r="M2" s="92" t="str">
        <f>Cards!C12</f>
        <v>Spend $L3 fewer Cards per Coin when Monetizing in the Undermarket</v>
      </c>
      <c r="N2" s="93" t="str">
        <f>Cards!C13</f>
        <v>Draw $L6 additional cards from any decks during Brainstorm</v>
      </c>
      <c r="O2" s="92" t="str">
        <f>Cards!C14</f>
        <v>Purchase $L3 Spies (at normal cost) when targeted by a Scheme</v>
      </c>
      <c r="P2" s="93" t="str">
        <f>Cards!C15</f>
        <v xml:space="preserve">You may repeat Provincial Actions with level 7 - $L6 (or higher) Leaders </v>
      </c>
      <c r="Q2" s="92" t="str">
        <f>Cards!C16</f>
        <v>You may repeat $L3 Court Actions per round</v>
      </c>
      <c r="R2" s="93" t="str">
        <f>Cards!C17</f>
        <v>Trade up to $L3 additional Coins when Buying from the Court</v>
      </c>
      <c r="S2" s="92" t="str">
        <f>Cards!C18</f>
        <v>Trade for up to $L3 additional Coins when Selling to the Court</v>
      </c>
      <c r="T2" s="93" t="str">
        <f>Cards!C19</f>
        <v>Gain $L3 additional Coins from the Royal Bank when Deploying Troops</v>
      </c>
      <c r="U2" s="92" t="str">
        <f>Cards!C20</f>
        <v>Provides private Buy Action at Market Rate + $L3</v>
      </c>
      <c r="V2" s="93" t="str">
        <f>Cards!C21</f>
        <v>Provides private Sell Action at Market Rate - $L3</v>
      </c>
      <c r="W2" s="92" t="str">
        <f>Cards!C22</f>
        <v>Purchase and immediately add up to $L3 Troops to your force when deploying them</v>
      </c>
      <c r="X2" s="93" t="str">
        <f>Cards!C23</f>
        <v>Convert $L3 additional Coins during Court Donate</v>
      </c>
      <c r="Y2" s="92" t="str">
        <f>Cards!C24</f>
        <v>Add $L6 additional dice to each Roll during a Trial</v>
      </c>
      <c r="Z2" s="93" t="str">
        <f>Cards!C25</f>
        <v>Collect $L6 additional Commodities during Collect</v>
      </c>
      <c r="AA2" s="92" t="str">
        <f>Cards!C26</f>
        <v>Subtract $L3 from Scheme Guard rolls. An unmodified 6 always succeeds.</v>
      </c>
      <c r="AB2" s="93" t="str">
        <f>Cards!C27</f>
        <v>Subtract $L3 from Scheme Card rolls</v>
      </c>
      <c r="AC2" s="92" t="str">
        <f>Cards!C28</f>
        <v>Spend $L3 fewer Commodities per Coin when Selling to the Undermarket</v>
      </c>
      <c r="AD2" s="94" t="str">
        <f>Cards!C29</f>
        <v>Spend $L3 fewer Commodities per Coin when Selling to the Court</v>
      </c>
      <c r="AE2" s="93" t="str">
        <f>Cards!C30</f>
        <v>Trade up to $L3 additional Coins when Buying from the Undermarket</v>
      </c>
      <c r="AF2" s="93" t="str">
        <f>Cards!C31</f>
        <v>Trade for up to $L3 additional Coins when Selling to the Undermarket</v>
      </c>
      <c r="AG2" s="92" t="str">
        <f>Cards!C32</f>
        <v>Trade for up to $L3 additional Coins when Monetizing in the Undermarket</v>
      </c>
      <c r="AH2" s="93" t="str">
        <f>Cards!C33</f>
        <v>Provides private Monetize Action at Market Rate + $L3</v>
      </c>
      <c r="AI2" s="92" t="str">
        <f>Cards!C34</f>
        <v>Spend $L3 fewer Cards per Coin when Monetizing in the Court</v>
      </c>
      <c r="AJ2" s="93" t="str">
        <f>Cards!C35</f>
        <v>Trade for up to $L3 additional Coins when Monetizing in the Court</v>
      </c>
      <c r="AK2" s="92" t="str">
        <f>Cards!C36</f>
        <v>Draw $L6 additional cards from the top of any discard pile during Brainstorm</v>
      </c>
      <c r="AL2" s="93" t="str">
        <f>Cards!C37</f>
        <v>Convert $L3 additional Coins during Undermarket Donate</v>
      </c>
      <c r="AM2" s="92" t="str">
        <f>Cards!C38</f>
        <v>You may repeat Undermarket Actions at double the penalty</v>
      </c>
      <c r="AN2" s="93" t="str">
        <f>Cards!C39</f>
        <v>Deploy $L3 additional Troops during Deploy</v>
      </c>
      <c r="AO2" s="92" t="str">
        <f t="shared" si="0"/>
        <v>Move the deliberated Law $L6 additional places back in the queue during Postpone</v>
      </c>
      <c r="AP2" s="93" t="str">
        <f t="shared" si="0"/>
        <v>Move the Law $L6 additional places forward in the queue during Prioritize</v>
      </c>
      <c r="AQ2" s="92" t="str">
        <f t="shared" si="0"/>
        <v xml:space="preserve">You may keep up to $L6 additional Coins when Taxing other Players </v>
      </c>
      <c r="AR2" s="93" t="str">
        <f t="shared" si="0"/>
        <v>Gain $L3 additional Coins during Flatter</v>
      </c>
      <c r="AS2" s="92" t="str">
        <f t="shared" si="0"/>
        <v>Gain $L3 more Commodities per Coin when Buying from the Undermarket</v>
      </c>
      <c r="AT2" s="93" t="str">
        <f t="shared" si="0"/>
        <v>Add $L3 additional Law cards to the bottom of the queue during Petition</v>
      </c>
      <c r="AU2" s="92" t="str">
        <f t="shared" si="0"/>
        <v>Purchase up to $L6 additional Troops during Recruit (at normal cost)</v>
      </c>
      <c r="AV2" s="93" t="str">
        <f t="shared" si="0"/>
        <v>Purchase up to $L6 additional Spies during Infiltrate (at normal cost)</v>
      </c>
      <c r="AW2" s="92" t="str">
        <f t="shared" si="0"/>
        <v>Purchase up to $L6 additional Troops during Recruit (at normal cost)</v>
      </c>
      <c r="AX2" s="94" t="str">
        <f t="shared" si="0"/>
        <v>Purchase up to $L6 additional Spies during Infiltrate (at normal cost)</v>
      </c>
      <c r="AY2" s="93" t="str">
        <f t="shared" si="1"/>
        <v>Gain $L3 more Commodities per Coin when Buying from the Court</v>
      </c>
      <c r="AZ2" s="92" t="str">
        <f t="shared" si="1"/>
        <v>Gain $L3 additional Coins from outside the Royal Bank when winning a Trial</v>
      </c>
      <c r="BA2" s="93" t="str">
        <f t="shared" si="1"/>
        <v>Spend $L3 fewer Cards per Coin when Monetizing in the Undermarket</v>
      </c>
      <c r="BB2" s="92" t="str">
        <f t="shared" si="1"/>
        <v>Draw $L6 additional cards from any decks during Brainstorm</v>
      </c>
      <c r="BC2" s="93" t="str">
        <f t="shared" si="1"/>
        <v>Purchase $L3 Spies (at normal cost) when targeted by a Scheme</v>
      </c>
      <c r="BD2" s="92" t="str">
        <f t="shared" si="1"/>
        <v xml:space="preserve">You may repeat Provincial Actions with level 7 - $L6 (or higher) Leaders </v>
      </c>
      <c r="BE2" s="93" t="str">
        <f t="shared" si="1"/>
        <v>You may repeat $L3 Court Actions per round</v>
      </c>
      <c r="BF2" s="92" t="str">
        <f t="shared" si="1"/>
        <v>Trade up to $L3 additional Coins when Buying from the Court</v>
      </c>
      <c r="BG2" s="93" t="str">
        <f t="shared" si="1"/>
        <v>Trade for up to $L3 additional Coins when Selling to the Court</v>
      </c>
      <c r="BH2" s="94" t="str">
        <f t="shared" si="1"/>
        <v>Gain $L3 additional Coins from the Royal Bank when Deploying Troops</v>
      </c>
      <c r="BI2" s="93" t="str">
        <f t="shared" si="2"/>
        <v>Provides private Buy Action at Market Rate + $L3</v>
      </c>
      <c r="BJ2" s="92" t="str">
        <f t="shared" si="2"/>
        <v>Provides private Sell Action at Market Rate - $L3</v>
      </c>
      <c r="BK2" s="93" t="str">
        <f t="shared" si="2"/>
        <v>Purchase and immediately add up to $L3 Troops to your force when deploying them</v>
      </c>
      <c r="BL2" s="92" t="str">
        <f t="shared" si="2"/>
        <v>Convert $L3 additional Coins during Court Donate</v>
      </c>
      <c r="BM2" s="93" t="str">
        <f t="shared" si="2"/>
        <v>Add $L6 additional dice to each Roll during a Trial</v>
      </c>
      <c r="BN2" s="92" t="str">
        <f t="shared" si="2"/>
        <v>Collect $L6 additional Commodities during Collect</v>
      </c>
      <c r="BO2" s="93" t="str">
        <f t="shared" si="2"/>
        <v>Subtract $L3 from Scheme Guard rolls. An unmodified 6 always succeeds.</v>
      </c>
      <c r="BP2" s="92" t="str">
        <f t="shared" si="2"/>
        <v>Subtract $L3 from Scheme Card rolls</v>
      </c>
      <c r="BQ2" s="72" t="str">
        <f t="shared" si="2"/>
        <v>Spend $L3 fewer Commodities per Coin when Selling to the Undermarket</v>
      </c>
      <c r="BR2" s="93" t="str">
        <f t="shared" si="2"/>
        <v>Spend $L3 fewer Commodities per Coin when Selling to the Court</v>
      </c>
      <c r="BS2" s="72"/>
      <c r="BU2" s="93"/>
      <c r="BW2" s="93"/>
      <c r="BY2" s="93"/>
      <c r="CA2" s="93"/>
    </row>
    <row r="3" spans="1:79" s="69" customFormat="1" ht="39.950000000000003" customHeight="1" x14ac:dyDescent="0.25">
      <c r="A3" s="67" t="str">
        <f>Cards!D2</f>
        <v>Full Coffers</v>
      </c>
      <c r="B3" s="68" t="str">
        <f>Cards!D3</f>
        <v xml:space="preserve">Decentralized Wealth </v>
      </c>
      <c r="C3" s="69" t="str">
        <f>Cards!D4</f>
        <v>Second Thoughts</v>
      </c>
      <c r="D3" s="67" t="str">
        <f>Cards!D5</f>
        <v>Changing Times</v>
      </c>
      <c r="E3" s="69" t="str">
        <f>Cards!D6</f>
        <v>Stable Economies</v>
      </c>
      <c r="F3" s="67" t="str">
        <f>Cards!D7</f>
        <v>Unreasonable Distractions</v>
      </c>
      <c r="G3" s="69" t="str">
        <f>Cards!D8</f>
        <v>Irregular Partiality</v>
      </c>
      <c r="H3" s="67" t="str">
        <f>Cards!D9</f>
        <v>Royal Amendment</v>
      </c>
      <c r="I3" s="69" t="str">
        <f>Cards!D10</f>
        <v>Honorable Accountability</v>
      </c>
      <c r="J3" s="67" t="str">
        <f>Cards!D11</f>
        <v>Frivolous Pursuits</v>
      </c>
      <c r="K3" s="69" t="str">
        <f>Cards!D12</f>
        <v>Economic Backbone</v>
      </c>
      <c r="L3" s="67" t="str">
        <f>Cards!D13</f>
        <v>Collective Ownership</v>
      </c>
      <c r="M3" s="69" t="str">
        <f>Cards!D14</f>
        <v>Aggressive Tactics</v>
      </c>
      <c r="N3" s="67" t="str">
        <f>Cards!D15</f>
        <v>Home Defense</v>
      </c>
      <c r="O3" s="69" t="str">
        <f>Cards!D16</f>
        <v>Valuable Advisors</v>
      </c>
      <c r="P3" s="67" t="str">
        <f>Cards!D17</f>
        <v>Chattering Windbags</v>
      </c>
      <c r="Q3" s="69" t="str">
        <f>Cards!D18</f>
        <v>Realistic Priorities</v>
      </c>
      <c r="R3" s="67" t="str">
        <f>Cards!D19</f>
        <v>Threat to the Throne</v>
      </c>
      <c r="S3" s="69" t="str">
        <f>Cards!D20</f>
        <v>Stone Foundations</v>
      </c>
      <c r="T3" s="67" t="str">
        <f>Cards!D21</f>
        <v>Environmental Guardians</v>
      </c>
      <c r="U3" s="69" t="str">
        <f>Cards!D22</f>
        <v>Resilient Officer Corps</v>
      </c>
      <c r="V3" s="67" t="str">
        <f>Cards!D23</f>
        <v>Bloated Bureaucracy</v>
      </c>
      <c r="W3" s="69" t="str">
        <f>Cards!D24</f>
        <v>Police Force</v>
      </c>
      <c r="X3" s="67" t="str">
        <f>Cards!D25</f>
        <v>Equal Partners</v>
      </c>
      <c r="Y3" s="69" t="str">
        <f>Cards!D26</f>
        <v>Criminal Identification</v>
      </c>
      <c r="Z3" s="67" t="str">
        <f>Cards!D27</f>
        <v>Honorable Marketplace</v>
      </c>
      <c r="AA3" s="69" t="str">
        <f>Cards!D28</f>
        <v>Engaged Empire</v>
      </c>
      <c r="AB3" s="67" t="str">
        <f>Cards!D29</f>
        <v>Suspicious Advisors</v>
      </c>
      <c r="AC3" s="69" t="str">
        <f>Cards!D30</f>
        <v>Contingency Plans</v>
      </c>
      <c r="AD3" s="70" t="str">
        <f>Cards!D31</f>
        <v>Worthless Procrastinators</v>
      </c>
      <c r="AE3" s="67" t="str">
        <f>Cards!D32</f>
        <v>Stalled Front</v>
      </c>
      <c r="AF3" s="67" t="str">
        <f>Cards!D33</f>
        <v>Quality Strength</v>
      </c>
      <c r="AG3" s="69" t="str">
        <f t="shared" ref="AG3:BL3" si="3">A3</f>
        <v>Full Coffers</v>
      </c>
      <c r="AH3" s="67" t="str">
        <f t="shared" si="3"/>
        <v xml:space="preserve">Decentralized Wealth </v>
      </c>
      <c r="AI3" s="69" t="str">
        <f t="shared" si="3"/>
        <v>Second Thoughts</v>
      </c>
      <c r="AJ3" s="67" t="str">
        <f t="shared" si="3"/>
        <v>Changing Times</v>
      </c>
      <c r="AK3" s="69" t="str">
        <f t="shared" si="3"/>
        <v>Stable Economies</v>
      </c>
      <c r="AL3" s="67" t="str">
        <f t="shared" si="3"/>
        <v>Unreasonable Distractions</v>
      </c>
      <c r="AM3" s="69" t="str">
        <f t="shared" si="3"/>
        <v>Irregular Partiality</v>
      </c>
      <c r="AN3" s="67" t="str">
        <f t="shared" si="3"/>
        <v>Royal Amendment</v>
      </c>
      <c r="AO3" s="69" t="str">
        <f t="shared" si="3"/>
        <v>Honorable Accountability</v>
      </c>
      <c r="AP3" s="67" t="str">
        <f t="shared" si="3"/>
        <v>Frivolous Pursuits</v>
      </c>
      <c r="AQ3" s="69" t="str">
        <f t="shared" si="3"/>
        <v>Economic Backbone</v>
      </c>
      <c r="AR3" s="67" t="str">
        <f t="shared" si="3"/>
        <v>Collective Ownership</v>
      </c>
      <c r="AS3" s="69" t="str">
        <f t="shared" si="3"/>
        <v>Aggressive Tactics</v>
      </c>
      <c r="AT3" s="67" t="str">
        <f t="shared" si="3"/>
        <v>Home Defense</v>
      </c>
      <c r="AU3" s="69" t="str">
        <f t="shared" si="3"/>
        <v>Valuable Advisors</v>
      </c>
      <c r="AV3" s="67" t="str">
        <f t="shared" si="3"/>
        <v>Chattering Windbags</v>
      </c>
      <c r="AW3" s="69" t="str">
        <f t="shared" si="3"/>
        <v>Realistic Priorities</v>
      </c>
      <c r="AX3" s="70" t="str">
        <f t="shared" si="3"/>
        <v>Threat to the Throne</v>
      </c>
      <c r="AY3" s="67" t="str">
        <f t="shared" si="3"/>
        <v>Stone Foundations</v>
      </c>
      <c r="AZ3" s="69" t="str">
        <f t="shared" si="3"/>
        <v>Environmental Guardians</v>
      </c>
      <c r="BA3" s="67" t="str">
        <f t="shared" si="3"/>
        <v>Resilient Officer Corps</v>
      </c>
      <c r="BB3" s="69" t="str">
        <f t="shared" si="3"/>
        <v>Bloated Bureaucracy</v>
      </c>
      <c r="BC3" s="67" t="str">
        <f t="shared" si="3"/>
        <v>Police Force</v>
      </c>
      <c r="BD3" s="69" t="str">
        <f t="shared" si="3"/>
        <v>Equal Partners</v>
      </c>
      <c r="BE3" s="67" t="str">
        <f t="shared" si="3"/>
        <v>Criminal Identification</v>
      </c>
      <c r="BF3" s="69" t="str">
        <f t="shared" si="3"/>
        <v>Honorable Marketplace</v>
      </c>
      <c r="BG3" s="67" t="str">
        <f t="shared" si="3"/>
        <v>Engaged Empire</v>
      </c>
      <c r="BH3" s="70" t="str">
        <f t="shared" si="3"/>
        <v>Suspicious Advisors</v>
      </c>
      <c r="BI3" s="67" t="str">
        <f t="shared" si="3"/>
        <v>Contingency Plans</v>
      </c>
      <c r="BJ3" s="69" t="str">
        <f t="shared" si="3"/>
        <v>Worthless Procrastinators</v>
      </c>
      <c r="BK3" s="67" t="str">
        <f t="shared" si="3"/>
        <v>Stalled Front</v>
      </c>
      <c r="BL3" s="69" t="str">
        <f t="shared" si="3"/>
        <v>Quality Strength</v>
      </c>
      <c r="BM3" s="67"/>
      <c r="BN3" s="69" t="str">
        <f t="shared" ref="BN3:BR4" si="4">AJ1</f>
        <v>Kingdom Advocates</v>
      </c>
      <c r="BO3" s="67" t="str">
        <f t="shared" si="4"/>
        <v>One Man's Trash</v>
      </c>
      <c r="BP3" s="69" t="str">
        <f t="shared" si="4"/>
        <v>Abusive Power</v>
      </c>
      <c r="BQ3" s="67" t="str">
        <f t="shared" si="4"/>
        <v>Painful Progress</v>
      </c>
      <c r="BR3" s="67" t="str">
        <f t="shared" si="4"/>
        <v>Iron Command</v>
      </c>
      <c r="BS3" s="68"/>
      <c r="BU3" s="67"/>
      <c r="BW3" s="67"/>
      <c r="BY3" s="67"/>
      <c r="CA3" s="67"/>
    </row>
    <row r="4" spans="1:79" s="74" customFormat="1" ht="105.75" customHeight="1" thickBot="1" x14ac:dyDescent="0.3">
      <c r="A4" s="72" t="str">
        <f>Cards!E2</f>
        <v>The Royal Bank must have at least $L6 Coins or all Players suffer sanctions on Undermarket Actions</v>
      </c>
      <c r="B4" s="73" t="str">
        <f>Cards!E3</f>
        <v>The Royal Bank may not have more than $L6 Coins or all Players suffer sanctions on Undermarket Actions</v>
      </c>
      <c r="C4" s="74" t="str">
        <f>Cards!E4</f>
        <v>Change the boundary of an active Law to $L6</v>
      </c>
      <c r="D4" s="72" t="str">
        <f>Cards!E5</f>
        <v>Change the boundary of an active Law to $L6</v>
      </c>
      <c r="E4" s="74" t="str">
        <f>Cards!E6</f>
        <v>Each Player must have at least 3 + $L6 Investments or they will suffer sanctions on Promote &amp; Commission</v>
      </c>
      <c r="F4" s="72" t="str">
        <f>Cards!E7</f>
        <v>No Player may have more than 3 + $L6 Investments or they will suffer sanctions on Promote &amp; Commission</v>
      </c>
      <c r="G4" s="74" t="str">
        <f>Cards!E8</f>
        <v>Change the boundary of an active Law to $L6</v>
      </c>
      <c r="H4" s="72" t="str">
        <f>Cards!E9</f>
        <v>Change the boundary of an active Law to $L6</v>
      </c>
      <c r="I4" s="74" t="str">
        <f>Cards!E10</f>
        <v>Each Player must Sue using a Leader with at least level $L6 this round or they will suffer sanctions on Deploy</v>
      </c>
      <c r="J4" s="72" t="str">
        <f>Cards!E11</f>
        <v>No Player may Sue using a Leader higher than level $L6 this round or they will suffer sanctions on Deploy</v>
      </c>
      <c r="K4" s="74" t="str">
        <f>Cards!E12</f>
        <v>Each Player must have an Investment with at least level $L6 or they will suffer sanctions on Infiltrate</v>
      </c>
      <c r="L4" s="72" t="str">
        <f>Cards!E13</f>
        <v>No Player may have an Investment higher than level $L6 or they will suffer sanctions on Infiltrate</v>
      </c>
      <c r="M4" s="74" t="str">
        <f>Cards!E14</f>
        <v>Each Player must deploy at least $L6 Troops or they will suffer sanctions on Petition</v>
      </c>
      <c r="N4" s="72" t="str">
        <f>Cards!E15</f>
        <v>No Player may deploy more than $L6 Troops or they will suffer sanctions on Petition</v>
      </c>
      <c r="O4" s="74" t="str">
        <f>Cards!E16</f>
        <v>Each Player must have at least $L6 sponsored Laws in the Edicts or in the Queue or they will suffer sanctions on Tax</v>
      </c>
      <c r="P4" s="72" t="str">
        <f>Cards!E17</f>
        <v>No Player may have more than $L6 sponsored Laws active or in the queue or they will suffer sanctions on Tax</v>
      </c>
      <c r="Q4" s="74" t="str">
        <f>Cards!E18</f>
        <v>Each Player must have a Leader with at least level $L6 or they will suffer sanctions on Sue</v>
      </c>
      <c r="R4" s="72" t="str">
        <f>Cards!E19</f>
        <v>No Player may have a Leader higher than level $L6 or they will suffer sanctions on Sue</v>
      </c>
      <c r="S4" s="74" t="str">
        <f>Cards!E20</f>
        <v>Each Player must Collect at least $L6 Commodities this round or they will suffer sanctions on Recruit</v>
      </c>
      <c r="T4" s="72" t="str">
        <f>Cards!E21</f>
        <v>No Player may Collect more than $L6 Commodities this round or they will suffer sanctions on Recruit</v>
      </c>
      <c r="U4" s="74" t="str">
        <f>Cards!E22</f>
        <v>Each Player must have at least 3 + $L6 Leaders or they will suffer sanctions on Build &amp; Upgrade</v>
      </c>
      <c r="V4" s="72" t="str">
        <f>Cards!E23</f>
        <v>No Player may have more than 3 + $L6 Leaders or they will suffer sanctions on Build &amp; Upgrade</v>
      </c>
      <c r="W4" s="74" t="str">
        <f>Cards!E24</f>
        <v>Each Player must have at least $L6 Troops or they will suffer sanctions on Collect</v>
      </c>
      <c r="X4" s="72" t="str">
        <f>Cards!E25</f>
        <v>No Player may have more than $L6 Troops or they will suffer sanctions on Collect</v>
      </c>
      <c r="Y4" s="74" t="str">
        <f>Cards!E26</f>
        <v>At least $L6 Players must use Undermarket Actions or all Players suffer sanctions on Prioritize</v>
      </c>
      <c r="Z4" s="72" t="str">
        <f>Cards!E27</f>
        <v>No more than $L6 Players may use Undermarket Actions or all Players suffer sanctions on Prioritize</v>
      </c>
      <c r="AA4" s="74" t="str">
        <f>Cards!E28</f>
        <v>At least $L6 Players must use Court Actions or all Players suffer sanctions on Flatter</v>
      </c>
      <c r="AB4" s="72" t="str">
        <f>Cards!E29</f>
        <v>No more than $L6 Players may use Court Actions or all Players suffer sanctions on Flatter</v>
      </c>
      <c r="AC4" s="74" t="str">
        <f>Cards!E30</f>
        <v>Each Player must have at least $L6 Cards of each type in hand or they will suffer sanctions on Monetize</v>
      </c>
      <c r="AD4" s="75" t="str">
        <f>Cards!E31</f>
        <v>No Player may have more than $L6 Cards of each type in their hand or they will suffer sanctions on Monetize</v>
      </c>
      <c r="AE4" s="72" t="str">
        <f>Cards!E32</f>
        <v>Each Player must Deploy at least $L6 Troops or they will suffer sanctions on Donate</v>
      </c>
      <c r="AF4" s="72" t="str">
        <f>Cards!E33</f>
        <v>No Player may Deploy more than $L6 Troops or they will suffer sanctions on Donate</v>
      </c>
      <c r="AG4" s="74" t="str">
        <f t="shared" ref="AG4:BL4" si="5">A4</f>
        <v>The Royal Bank must have at least $L6 Coins or all Players suffer sanctions on Undermarket Actions</v>
      </c>
      <c r="AH4" s="72" t="str">
        <f t="shared" si="5"/>
        <v>The Royal Bank may not have more than $L6 Coins or all Players suffer sanctions on Undermarket Actions</v>
      </c>
      <c r="AI4" s="74" t="str">
        <f t="shared" si="5"/>
        <v>Change the boundary of an active Law to $L6</v>
      </c>
      <c r="AJ4" s="72" t="str">
        <f t="shared" si="5"/>
        <v>Change the boundary of an active Law to $L6</v>
      </c>
      <c r="AK4" s="74" t="str">
        <f t="shared" si="5"/>
        <v>Each Player must have at least 3 + $L6 Investments or they will suffer sanctions on Promote &amp; Commission</v>
      </c>
      <c r="AL4" s="72" t="str">
        <f t="shared" si="5"/>
        <v>No Player may have more than 3 + $L6 Investments or they will suffer sanctions on Promote &amp; Commission</v>
      </c>
      <c r="AM4" s="74" t="str">
        <f t="shared" si="5"/>
        <v>Change the boundary of an active Law to $L6</v>
      </c>
      <c r="AN4" s="72" t="str">
        <f t="shared" si="5"/>
        <v>Change the boundary of an active Law to $L6</v>
      </c>
      <c r="AO4" s="74" t="str">
        <f t="shared" si="5"/>
        <v>Each Player must Sue using a Leader with at least level $L6 this round or they will suffer sanctions on Deploy</v>
      </c>
      <c r="AP4" s="72" t="str">
        <f t="shared" si="5"/>
        <v>No Player may Sue using a Leader higher than level $L6 this round or they will suffer sanctions on Deploy</v>
      </c>
      <c r="AQ4" s="74" t="str">
        <f t="shared" si="5"/>
        <v>Each Player must have an Investment with at least level $L6 or they will suffer sanctions on Infiltrate</v>
      </c>
      <c r="AR4" s="72" t="str">
        <f t="shared" si="5"/>
        <v>No Player may have an Investment higher than level $L6 or they will suffer sanctions on Infiltrate</v>
      </c>
      <c r="AS4" s="74" t="str">
        <f t="shared" si="5"/>
        <v>Each Player must deploy at least $L6 Troops or they will suffer sanctions on Petition</v>
      </c>
      <c r="AT4" s="72" t="str">
        <f t="shared" si="5"/>
        <v>No Player may deploy more than $L6 Troops or they will suffer sanctions on Petition</v>
      </c>
      <c r="AU4" s="74" t="str">
        <f t="shared" si="5"/>
        <v>Each Player must have at least $L6 sponsored Laws in the Edicts or in the Queue or they will suffer sanctions on Tax</v>
      </c>
      <c r="AV4" s="72" t="str">
        <f t="shared" si="5"/>
        <v>No Player may have more than $L6 sponsored Laws active or in the queue or they will suffer sanctions on Tax</v>
      </c>
      <c r="AW4" s="74" t="str">
        <f t="shared" si="5"/>
        <v>Each Player must have a Leader with at least level $L6 or they will suffer sanctions on Sue</v>
      </c>
      <c r="AX4" s="75" t="str">
        <f t="shared" si="5"/>
        <v>No Player may have a Leader higher than level $L6 or they will suffer sanctions on Sue</v>
      </c>
      <c r="AY4" s="72" t="str">
        <f t="shared" si="5"/>
        <v>Each Player must Collect at least $L6 Commodities this round or they will suffer sanctions on Recruit</v>
      </c>
      <c r="AZ4" s="74" t="str">
        <f t="shared" si="5"/>
        <v>No Player may Collect more than $L6 Commodities this round or they will suffer sanctions on Recruit</v>
      </c>
      <c r="BA4" s="72" t="str">
        <f t="shared" si="5"/>
        <v>Each Player must have at least 3 + $L6 Leaders or they will suffer sanctions on Build &amp; Upgrade</v>
      </c>
      <c r="BB4" s="74" t="str">
        <f t="shared" si="5"/>
        <v>No Player may have more than 3 + $L6 Leaders or they will suffer sanctions on Build &amp; Upgrade</v>
      </c>
      <c r="BC4" s="72" t="str">
        <f t="shared" si="5"/>
        <v>Each Player must have at least $L6 Troops or they will suffer sanctions on Collect</v>
      </c>
      <c r="BD4" s="74" t="str">
        <f t="shared" si="5"/>
        <v>No Player may have more than $L6 Troops or they will suffer sanctions on Collect</v>
      </c>
      <c r="BE4" s="72" t="str">
        <f t="shared" si="5"/>
        <v>At least $L6 Players must use Undermarket Actions or all Players suffer sanctions on Prioritize</v>
      </c>
      <c r="BF4" s="74" t="str">
        <f t="shared" si="5"/>
        <v>No more than $L6 Players may use Undermarket Actions or all Players suffer sanctions on Prioritize</v>
      </c>
      <c r="BG4" s="72" t="str">
        <f t="shared" si="5"/>
        <v>At least $L6 Players must use Court Actions or all Players suffer sanctions on Flatter</v>
      </c>
      <c r="BH4" s="75" t="str">
        <f t="shared" si="5"/>
        <v>No more than $L6 Players may use Court Actions or all Players suffer sanctions on Flatter</v>
      </c>
      <c r="BI4" s="72" t="str">
        <f t="shared" si="5"/>
        <v>Each Player must have at least $L6 Cards of each type in hand or they will suffer sanctions on Monetize</v>
      </c>
      <c r="BJ4" s="74" t="str">
        <f t="shared" si="5"/>
        <v>No Player may have more than $L6 Cards of each type in their hand or they will suffer sanctions on Monetize</v>
      </c>
      <c r="BK4" s="72" t="str">
        <f t="shared" si="5"/>
        <v>Each Player must Deploy at least $L6 Troops or they will suffer sanctions on Donate</v>
      </c>
      <c r="BL4" s="74" t="str">
        <f t="shared" si="5"/>
        <v>No Player may Deploy more than $L6 Troops or they will suffer sanctions on Donate</v>
      </c>
      <c r="BM4" s="72"/>
      <c r="BN4" s="92" t="str">
        <f t="shared" si="4"/>
        <v>Trade for up to $L3 additional Coins when Monetizing in the Court</v>
      </c>
      <c r="BO4" s="93" t="str">
        <f t="shared" si="4"/>
        <v>Draw $L6 additional cards from the top of any discard pile during Brainstorm</v>
      </c>
      <c r="BP4" s="92" t="str">
        <f t="shared" si="4"/>
        <v>Convert $L3 additional Coins during Undermarket Donate</v>
      </c>
      <c r="BQ4" s="93" t="str">
        <f t="shared" si="4"/>
        <v>You may repeat Undermarket Actions at double the penalty</v>
      </c>
      <c r="BR4" s="72" t="str">
        <f t="shared" si="4"/>
        <v>Deploy $L3 additional Troops during Deploy</v>
      </c>
      <c r="BS4" s="73"/>
      <c r="BU4" s="72"/>
      <c r="BW4" s="72"/>
      <c r="BY4" s="72"/>
      <c r="CA4" s="72"/>
    </row>
    <row r="5" spans="1:79" s="78" customFormat="1" ht="39.950000000000003" customHeight="1" x14ac:dyDescent="0.25">
      <c r="A5" s="76" t="str">
        <f>Cards!F2</f>
        <v>Fickle Mercenaries</v>
      </c>
      <c r="B5" s="77" t="str">
        <f>Cards!F3</f>
        <v>Blatant Extortion</v>
      </c>
      <c r="C5" s="78" t="str">
        <f>Cards!F4</f>
        <v>Double Agents</v>
      </c>
      <c r="D5" s="76" t="str">
        <f>Cards!F5</f>
        <v>Questionable Reallocation</v>
      </c>
      <c r="E5" s="78" t="str">
        <f>Cards!F6</f>
        <v>Corporate Espionage</v>
      </c>
      <c r="F5" s="76" t="str">
        <f>Cards!F7</f>
        <v>Localized Famine</v>
      </c>
      <c r="G5" s="78" t="str">
        <f>Cards!F8</f>
        <v>Highway Robbery</v>
      </c>
      <c r="H5" s="76" t="str">
        <f>Cards!F9</f>
        <v>Camp Plague</v>
      </c>
      <c r="I5" s="78" t="str">
        <f>Cards!F10</f>
        <v>Weakening Grip</v>
      </c>
      <c r="J5" s="76" t="str">
        <f>Cards!F11</f>
        <v>Culture Shift</v>
      </c>
      <c r="K5" s="78" t="str">
        <f>Cards!F12</f>
        <v>Corporate Takeover</v>
      </c>
      <c r="L5" s="76" t="str">
        <f>Cards!F13</f>
        <v>Sabotage</v>
      </c>
      <c r="M5" s="78" t="str">
        <f>Cards!F14</f>
        <v>Dangerous Monopolies</v>
      </c>
      <c r="N5" s="76" t="str">
        <f>Cards!F15</f>
        <v>Betrayal</v>
      </c>
      <c r="O5" s="78" t="str">
        <f>Cards!F16</f>
        <v>Assassination Attempt</v>
      </c>
      <c r="P5" s="76" t="str">
        <f>Cards!F17</f>
        <v>Humiliation</v>
      </c>
      <c r="Q5" s="78" t="str">
        <f>Cards!F18</f>
        <v>Invalid Paperwork</v>
      </c>
      <c r="R5" s="76" t="str">
        <f>Cards!F19</f>
        <v>Rallied Opposition</v>
      </c>
      <c r="S5" s="78" t="str">
        <f>Cards!F20</f>
        <v>Waning Support</v>
      </c>
      <c r="T5" s="76" t="str">
        <f>Cards!F21</f>
        <v>Misaligned Strategy</v>
      </c>
      <c r="U5" s="76" t="str">
        <f>Cards!F22</f>
        <v>Blackmail</v>
      </c>
      <c r="V5" s="76" t="str">
        <f t="shared" ref="V5:AE6" si="6">A5</f>
        <v>Fickle Mercenaries</v>
      </c>
      <c r="W5" s="78" t="str">
        <f t="shared" si="6"/>
        <v>Blatant Extortion</v>
      </c>
      <c r="X5" s="76" t="str">
        <f t="shared" si="6"/>
        <v>Double Agents</v>
      </c>
      <c r="Y5" s="78" t="str">
        <f t="shared" si="6"/>
        <v>Questionable Reallocation</v>
      </c>
      <c r="Z5" s="76" t="str">
        <f t="shared" si="6"/>
        <v>Corporate Espionage</v>
      </c>
      <c r="AA5" s="78" t="str">
        <f t="shared" si="6"/>
        <v>Localized Famine</v>
      </c>
      <c r="AB5" s="76" t="str">
        <f t="shared" si="6"/>
        <v>Highway Robbery</v>
      </c>
      <c r="AC5" s="78" t="str">
        <f t="shared" si="6"/>
        <v>Camp Plague</v>
      </c>
      <c r="AD5" s="79" t="str">
        <f t="shared" si="6"/>
        <v>Weakening Grip</v>
      </c>
      <c r="AE5" s="76" t="str">
        <f t="shared" si="6"/>
        <v>Culture Shift</v>
      </c>
      <c r="AF5" s="76" t="str">
        <f t="shared" ref="AF5:AO6" si="7">K5</f>
        <v>Corporate Takeover</v>
      </c>
      <c r="AG5" s="78" t="str">
        <f t="shared" si="7"/>
        <v>Sabotage</v>
      </c>
      <c r="AH5" s="76" t="str">
        <f t="shared" si="7"/>
        <v>Dangerous Monopolies</v>
      </c>
      <c r="AI5" s="78" t="str">
        <f t="shared" si="7"/>
        <v>Betrayal</v>
      </c>
      <c r="AJ5" s="76" t="str">
        <f t="shared" si="7"/>
        <v>Assassination Attempt</v>
      </c>
      <c r="AK5" s="78" t="str">
        <f t="shared" si="7"/>
        <v>Humiliation</v>
      </c>
      <c r="AL5" s="76" t="str">
        <f t="shared" si="7"/>
        <v>Invalid Paperwork</v>
      </c>
      <c r="AM5" s="78" t="str">
        <f t="shared" si="7"/>
        <v>Rallied Opposition</v>
      </c>
      <c r="AN5" s="76" t="str">
        <f t="shared" si="7"/>
        <v>Waning Support</v>
      </c>
      <c r="AO5" s="78" t="str">
        <f t="shared" si="7"/>
        <v>Misaligned Strategy</v>
      </c>
      <c r="AP5" s="76" t="str">
        <f t="shared" ref="AP5:AP6" si="8">U5</f>
        <v>Blackmail</v>
      </c>
      <c r="AQ5" s="78" t="str">
        <f t="shared" ref="AQ5:AZ6" si="9">A5</f>
        <v>Fickle Mercenaries</v>
      </c>
      <c r="AR5" s="76" t="str">
        <f t="shared" si="9"/>
        <v>Blatant Extortion</v>
      </c>
      <c r="AS5" s="78" t="str">
        <f t="shared" si="9"/>
        <v>Double Agents</v>
      </c>
      <c r="AT5" s="76" t="str">
        <f t="shared" si="9"/>
        <v>Questionable Reallocation</v>
      </c>
      <c r="AU5" s="78" t="str">
        <f t="shared" si="9"/>
        <v>Corporate Espionage</v>
      </c>
      <c r="AV5" s="76" t="str">
        <f t="shared" si="9"/>
        <v>Localized Famine</v>
      </c>
      <c r="AW5" s="78" t="str">
        <f t="shared" si="9"/>
        <v>Highway Robbery</v>
      </c>
      <c r="AX5" s="79" t="str">
        <f t="shared" si="9"/>
        <v>Camp Plague</v>
      </c>
      <c r="AY5" s="76" t="str">
        <f t="shared" si="9"/>
        <v>Weakening Grip</v>
      </c>
      <c r="AZ5" s="78" t="str">
        <f t="shared" si="9"/>
        <v>Culture Shift</v>
      </c>
      <c r="BA5" s="76" t="str">
        <f t="shared" ref="BA5:BJ6" si="10">K5</f>
        <v>Corporate Takeover</v>
      </c>
      <c r="BB5" s="78" t="str">
        <f t="shared" si="10"/>
        <v>Sabotage</v>
      </c>
      <c r="BC5" s="76" t="str">
        <f t="shared" si="10"/>
        <v>Dangerous Monopolies</v>
      </c>
      <c r="BD5" s="78" t="str">
        <f t="shared" si="10"/>
        <v>Betrayal</v>
      </c>
      <c r="BE5" s="76" t="str">
        <f t="shared" si="10"/>
        <v>Assassination Attempt</v>
      </c>
      <c r="BF5" s="78" t="str">
        <f t="shared" si="10"/>
        <v>Humiliation</v>
      </c>
      <c r="BG5" s="76" t="str">
        <f t="shared" si="10"/>
        <v>Invalid Paperwork</v>
      </c>
      <c r="BH5" s="76" t="str">
        <f t="shared" si="10"/>
        <v>Rallied Opposition</v>
      </c>
      <c r="BI5" s="76" t="str">
        <f t="shared" si="10"/>
        <v>Waning Support</v>
      </c>
      <c r="BJ5" s="78" t="str">
        <f t="shared" si="10"/>
        <v>Misaligned Strategy</v>
      </c>
      <c r="BK5" s="76" t="str">
        <f t="shared" ref="BK5:BK6" si="11">U5</f>
        <v>Blackmail</v>
      </c>
      <c r="BM5" s="67" t="str">
        <f t="shared" ref="BM5:BQ6" si="12">AE1</f>
        <v>Codependent Relationship</v>
      </c>
      <c r="BN5" s="69" t="str">
        <f t="shared" si="12"/>
        <v>Dangerous Promises</v>
      </c>
      <c r="BO5" s="67" t="str">
        <f t="shared" si="12"/>
        <v>Large Middle Class</v>
      </c>
      <c r="BP5" s="69" t="str">
        <f t="shared" si="12"/>
        <v>Innovation Hub</v>
      </c>
      <c r="BQ5" s="67" t="str">
        <f t="shared" si="12"/>
        <v>Fire Temple</v>
      </c>
      <c r="BR5" s="76"/>
      <c r="BS5" s="77"/>
      <c r="BU5" s="76"/>
      <c r="BW5" s="76"/>
      <c r="BY5" s="76"/>
      <c r="CA5" s="76"/>
    </row>
    <row r="6" spans="1:79" s="74" customFormat="1" ht="105.75" thickBot="1" x14ac:dyDescent="0.3">
      <c r="A6" s="72" t="str">
        <f>Cards!G2</f>
        <v>Give $2D6 Troops to $R</v>
      </c>
      <c r="B6" s="73" t="str">
        <f>Cards!G3</f>
        <v>Give $D6 Coins to $R. Perform an Emergency Trade if needed.</v>
      </c>
      <c r="C6" s="74" t="str">
        <f>Cards!G4</f>
        <v>Give $D6 Spies to $R</v>
      </c>
      <c r="D6" s="72" t="str">
        <f>Cards!G5</f>
        <v>Give $2D6 Commodities to $R</v>
      </c>
      <c r="E6" s="74" t="str">
        <f>Cards!G6</f>
        <v>Give $D6 random Cards of each type from your hand to $R</v>
      </c>
      <c r="F6" s="72" t="str">
        <f>Cards!G7</f>
        <v>Lose half your Commodities</v>
      </c>
      <c r="G6" s="74" t="str">
        <f>Cards!G8</f>
        <v>Lose half your Coins</v>
      </c>
      <c r="H6" s="72" t="str">
        <f>Cards!G9</f>
        <v>Lose half your Troops</v>
      </c>
      <c r="I6" s="74" t="str">
        <f>Cards!G10</f>
        <v>Lose half your Spies</v>
      </c>
      <c r="J6" s="72" t="str">
        <f>Cards!G11</f>
        <v>Disard half your cards of each type</v>
      </c>
      <c r="K6" s="74" t="str">
        <f>Cards!G12</f>
        <v>Downgrade an Investment at level $D6 by half and send it to $R</v>
      </c>
      <c r="L6" s="72" t="str">
        <f>Cards!G13</f>
        <v>Downgrade an Investment by $D6 levels</v>
      </c>
      <c r="M6" s="74" t="str">
        <f>Cards!G14</f>
        <v>Downgrade an Investment by $D6 levels</v>
      </c>
      <c r="N6" s="72" t="str">
        <f>Cards!G15</f>
        <v>Demote a Leader at level $D6 by half and send it to $R</v>
      </c>
      <c r="O6" s="74" t="str">
        <f>Cards!G16</f>
        <v>Demote a Leader by $D6 levels</v>
      </c>
      <c r="P6" s="72" t="str">
        <f>Cards!G17</f>
        <v>Demote a Leader by $D6 levels</v>
      </c>
      <c r="Q6" s="74" t="str">
        <f>Cards!G18</f>
        <v>Move your foremost Law to the back of the Queue</v>
      </c>
      <c r="R6" s="72" t="str">
        <f>Cards!G19</f>
        <v>Move your foremost Law $D6 spaces back in the Queue</v>
      </c>
      <c r="S6" s="74" t="str">
        <f>Cards!G20</f>
        <v>Move $D6 of your Laws each one space back in the Queue</v>
      </c>
      <c r="T6" s="72" t="str">
        <f>Cards!G21</f>
        <v>Move your foremost Law $D6 spaces back in the Queue</v>
      </c>
      <c r="U6" s="72" t="str">
        <f>Cards!G22</f>
        <v>Pay $D6 Coins to the holder of the King's Favor then give the King's Favor to $R. Perform an Emergency Trade if needed.</v>
      </c>
      <c r="V6" s="72" t="str">
        <f t="shared" si="6"/>
        <v>Give $2D6 Troops to $R</v>
      </c>
      <c r="W6" s="74" t="str">
        <f t="shared" si="6"/>
        <v>Give $D6 Coins to $R. Perform an Emergency Trade if needed.</v>
      </c>
      <c r="X6" s="72" t="str">
        <f t="shared" si="6"/>
        <v>Give $D6 Spies to $R</v>
      </c>
      <c r="Y6" s="74" t="str">
        <f t="shared" si="6"/>
        <v>Give $2D6 Commodities to $R</v>
      </c>
      <c r="Z6" s="72" t="str">
        <f t="shared" si="6"/>
        <v>Give $D6 random Cards of each type from your hand to $R</v>
      </c>
      <c r="AA6" s="74" t="str">
        <f t="shared" si="6"/>
        <v>Lose half your Commodities</v>
      </c>
      <c r="AB6" s="72" t="str">
        <f t="shared" si="6"/>
        <v>Lose half your Coins</v>
      </c>
      <c r="AC6" s="74" t="str">
        <f t="shared" si="6"/>
        <v>Lose half your Troops</v>
      </c>
      <c r="AD6" s="75" t="str">
        <f t="shared" si="6"/>
        <v>Lose half your Spies</v>
      </c>
      <c r="AE6" s="72" t="str">
        <f t="shared" si="6"/>
        <v>Disard half your cards of each type</v>
      </c>
      <c r="AF6" s="72" t="str">
        <f t="shared" si="7"/>
        <v>Downgrade an Investment at level $D6 by half and send it to $R</v>
      </c>
      <c r="AG6" s="74" t="str">
        <f t="shared" si="7"/>
        <v>Downgrade an Investment by $D6 levels</v>
      </c>
      <c r="AH6" s="72" t="str">
        <f t="shared" si="7"/>
        <v>Downgrade an Investment by $D6 levels</v>
      </c>
      <c r="AI6" s="74" t="str">
        <f t="shared" si="7"/>
        <v>Demote a Leader at level $D6 by half and send it to $R</v>
      </c>
      <c r="AJ6" s="72" t="str">
        <f t="shared" si="7"/>
        <v>Demote a Leader by $D6 levels</v>
      </c>
      <c r="AK6" s="74" t="str">
        <f t="shared" si="7"/>
        <v>Demote a Leader by $D6 levels</v>
      </c>
      <c r="AL6" s="72" t="str">
        <f t="shared" si="7"/>
        <v>Move your foremost Law to the back of the Queue</v>
      </c>
      <c r="AM6" s="74" t="str">
        <f t="shared" si="7"/>
        <v>Move your foremost Law $D6 spaces back in the Queue</v>
      </c>
      <c r="AN6" s="72" t="str">
        <f t="shared" si="7"/>
        <v>Move $D6 of your Laws each one space back in the Queue</v>
      </c>
      <c r="AO6" s="74" t="str">
        <f t="shared" si="7"/>
        <v>Move your foremost Law $D6 spaces back in the Queue</v>
      </c>
      <c r="AP6" s="72" t="str">
        <f t="shared" si="8"/>
        <v>Pay $D6 Coins to the holder of the King's Favor then give the King's Favor to $R. Perform an Emergency Trade if needed.</v>
      </c>
      <c r="AQ6" s="74" t="str">
        <f t="shared" si="9"/>
        <v>Give $2D6 Troops to $R</v>
      </c>
      <c r="AR6" s="72" t="str">
        <f t="shared" si="9"/>
        <v>Give $D6 Coins to $R. Perform an Emergency Trade if needed.</v>
      </c>
      <c r="AS6" s="74" t="str">
        <f t="shared" si="9"/>
        <v>Give $D6 Spies to $R</v>
      </c>
      <c r="AT6" s="72" t="str">
        <f t="shared" si="9"/>
        <v>Give $2D6 Commodities to $R</v>
      </c>
      <c r="AU6" s="74" t="str">
        <f t="shared" si="9"/>
        <v>Give $D6 random Cards of each type from your hand to $R</v>
      </c>
      <c r="AV6" s="72" t="str">
        <f t="shared" si="9"/>
        <v>Lose half your Commodities</v>
      </c>
      <c r="AW6" s="74" t="str">
        <f t="shared" si="9"/>
        <v>Lose half your Coins</v>
      </c>
      <c r="AX6" s="75" t="str">
        <f t="shared" si="9"/>
        <v>Lose half your Troops</v>
      </c>
      <c r="AY6" s="72" t="str">
        <f t="shared" si="9"/>
        <v>Lose half your Spies</v>
      </c>
      <c r="AZ6" s="74" t="str">
        <f t="shared" si="9"/>
        <v>Disard half your cards of each type</v>
      </c>
      <c r="BA6" s="72" t="str">
        <f t="shared" si="10"/>
        <v>Downgrade an Investment at level $D6 by half and send it to $R</v>
      </c>
      <c r="BB6" s="74" t="str">
        <f t="shared" si="10"/>
        <v>Downgrade an Investment by $D6 levels</v>
      </c>
      <c r="BC6" s="72" t="str">
        <f t="shared" si="10"/>
        <v>Downgrade an Investment by $D6 levels</v>
      </c>
      <c r="BD6" s="74" t="str">
        <f t="shared" si="10"/>
        <v>Demote a Leader at level $D6 by half and send it to $R</v>
      </c>
      <c r="BE6" s="72" t="str">
        <f t="shared" si="10"/>
        <v>Demote a Leader by $D6 levels</v>
      </c>
      <c r="BF6" s="74" t="str">
        <f t="shared" si="10"/>
        <v>Demote a Leader by $D6 levels</v>
      </c>
      <c r="BG6" s="72" t="str">
        <f t="shared" si="10"/>
        <v>Move your foremost Law to the back of the Queue</v>
      </c>
      <c r="BH6" s="72" t="str">
        <f t="shared" si="10"/>
        <v>Move your foremost Law $D6 spaces back in the Queue</v>
      </c>
      <c r="BI6" s="72" t="str">
        <f t="shared" si="10"/>
        <v>Move $D6 of your Laws each one space back in the Queue</v>
      </c>
      <c r="BJ6" s="74" t="str">
        <f t="shared" si="10"/>
        <v>Move your foremost Law $D6 spaces back in the Queue</v>
      </c>
      <c r="BK6" s="72" t="str">
        <f t="shared" si="11"/>
        <v>Pay $D6 Coins to the holder of the King's Favor then give the King's Favor to $R. Perform an Emergency Trade if needed.</v>
      </c>
      <c r="BM6" s="72" t="str">
        <f t="shared" si="12"/>
        <v>Trade up to $L3 additional Coins when Buying from the Undermarket</v>
      </c>
      <c r="BN6" s="74" t="str">
        <f t="shared" si="12"/>
        <v>Trade for up to $L3 additional Coins when Selling to the Undermarket</v>
      </c>
      <c r="BO6" s="72" t="str">
        <f t="shared" si="12"/>
        <v>Trade for up to $L3 additional Coins when Monetizing in the Undermarket</v>
      </c>
      <c r="BP6" s="74" t="str">
        <f t="shared" si="12"/>
        <v>Provides private Monetize Action at Market Rate + $L3</v>
      </c>
      <c r="BQ6" s="72" t="str">
        <f t="shared" si="12"/>
        <v>Spend $L3 fewer Cards per Coin when Monetizing in the Court</v>
      </c>
      <c r="BR6" s="72"/>
      <c r="BS6" s="73"/>
      <c r="BU6" s="72"/>
      <c r="BW6" s="72"/>
      <c r="BY6" s="72"/>
      <c r="CA6" s="72"/>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260</v>
      </c>
      <c r="C1" t="s">
        <v>261</v>
      </c>
      <c r="D1" t="s">
        <v>262</v>
      </c>
      <c r="E1" t="s">
        <v>263</v>
      </c>
      <c r="F1" t="s">
        <v>264</v>
      </c>
    </row>
    <row r="2" spans="1:6" x14ac:dyDescent="0.25">
      <c r="A2" t="s">
        <v>241</v>
      </c>
      <c r="B2">
        <f>30*2</f>
        <v>60</v>
      </c>
      <c r="C2" t="s">
        <v>265</v>
      </c>
      <c r="D2">
        <v>27.7</v>
      </c>
    </row>
    <row r="3" spans="1:6" x14ac:dyDescent="0.25">
      <c r="A3" t="s">
        <v>242</v>
      </c>
      <c r="B3">
        <f>34*2</f>
        <v>68</v>
      </c>
      <c r="C3" t="s">
        <v>265</v>
      </c>
      <c r="D3">
        <v>27.7</v>
      </c>
    </row>
    <row r="4" spans="1:6" x14ac:dyDescent="0.25">
      <c r="A4" t="s">
        <v>243</v>
      </c>
      <c r="B4">
        <f>18*3</f>
        <v>54</v>
      </c>
      <c r="C4" t="s">
        <v>265</v>
      </c>
      <c r="D4">
        <v>30.75</v>
      </c>
    </row>
    <row r="5" spans="1:6" x14ac:dyDescent="0.25">
      <c r="A5" t="s">
        <v>244</v>
      </c>
      <c r="B5">
        <f>2*6+6*6</f>
        <v>48</v>
      </c>
      <c r="C5" t="s">
        <v>268</v>
      </c>
    </row>
    <row r="6" spans="1:6" x14ac:dyDescent="0.25">
      <c r="A6" t="s">
        <v>256</v>
      </c>
      <c r="B6">
        <f>1*6+10*6</f>
        <v>66</v>
      </c>
      <c r="C6" t="s">
        <v>266</v>
      </c>
      <c r="E6" t="s">
        <v>267</v>
      </c>
    </row>
    <row r="7" spans="1:6" x14ac:dyDescent="0.25">
      <c r="A7" t="s">
        <v>245</v>
      </c>
      <c r="B7">
        <f>10*6+10</f>
        <v>70</v>
      </c>
      <c r="C7" t="s">
        <v>266</v>
      </c>
      <c r="E7" t="s">
        <v>271</v>
      </c>
    </row>
    <row r="8" spans="1:6" x14ac:dyDescent="0.25">
      <c r="A8" t="s">
        <v>246</v>
      </c>
      <c r="B8">
        <f>2*8*6</f>
        <v>96</v>
      </c>
      <c r="C8" t="s">
        <v>266</v>
      </c>
      <c r="E8" t="s">
        <v>271</v>
      </c>
    </row>
    <row r="9" spans="1:6" x14ac:dyDescent="0.25">
      <c r="A9" t="s">
        <v>247</v>
      </c>
      <c r="B9">
        <f>5*6</f>
        <v>30</v>
      </c>
      <c r="C9" t="s">
        <v>266</v>
      </c>
    </row>
    <row r="10" spans="1:6" x14ac:dyDescent="0.25">
      <c r="A10" t="s">
        <v>248</v>
      </c>
      <c r="B10">
        <f>5*6</f>
        <v>30</v>
      </c>
      <c r="C10" t="s">
        <v>266</v>
      </c>
      <c r="E10" t="s">
        <v>267</v>
      </c>
    </row>
    <row r="11" spans="1:6" x14ac:dyDescent="0.25">
      <c r="A11" t="s">
        <v>249</v>
      </c>
      <c r="B11">
        <f>(30*6-B10)/5</f>
        <v>30</v>
      </c>
      <c r="C11" t="s">
        <v>266</v>
      </c>
      <c r="E11" t="s">
        <v>267</v>
      </c>
    </row>
    <row r="12" spans="1:6" x14ac:dyDescent="0.25">
      <c r="A12" t="s">
        <v>250</v>
      </c>
      <c r="B12">
        <f>5*6</f>
        <v>30</v>
      </c>
      <c r="C12" t="s">
        <v>266</v>
      </c>
      <c r="E12" t="s">
        <v>268</v>
      </c>
    </row>
    <row r="13" spans="1:6" x14ac:dyDescent="0.25">
      <c r="A13" t="s">
        <v>251</v>
      </c>
      <c r="B13">
        <f>(15*6-B12)/5</f>
        <v>12</v>
      </c>
      <c r="C13" t="s">
        <v>266</v>
      </c>
      <c r="E13" t="s">
        <v>268</v>
      </c>
    </row>
    <row r="14" spans="1:6" x14ac:dyDescent="0.25">
      <c r="A14" t="s">
        <v>252</v>
      </c>
      <c r="B14">
        <v>1</v>
      </c>
      <c r="C14" t="s">
        <v>269</v>
      </c>
    </row>
    <row r="15" spans="1:6" x14ac:dyDescent="0.25">
      <c r="A15" t="s">
        <v>253</v>
      </c>
      <c r="B15">
        <v>1</v>
      </c>
      <c r="C15" t="s">
        <v>269</v>
      </c>
    </row>
    <row r="16" spans="1:6" x14ac:dyDescent="0.25">
      <c r="A16" t="s">
        <v>254</v>
      </c>
      <c r="B16">
        <v>1</v>
      </c>
      <c r="C16" t="s">
        <v>269</v>
      </c>
    </row>
    <row r="17" spans="1:3" x14ac:dyDescent="0.25">
      <c r="A17" t="s">
        <v>255</v>
      </c>
      <c r="B17">
        <v>6</v>
      </c>
      <c r="C17" t="s">
        <v>265</v>
      </c>
    </row>
    <row r="18" spans="1:3" x14ac:dyDescent="0.25">
      <c r="A18" t="s">
        <v>259</v>
      </c>
      <c r="B18">
        <f>10*6</f>
        <v>60</v>
      </c>
      <c r="C18" t="s">
        <v>270</v>
      </c>
    </row>
    <row r="19" spans="1:3" x14ac:dyDescent="0.25">
      <c r="A19" t="s">
        <v>258</v>
      </c>
      <c r="B19">
        <f>5*7</f>
        <v>35</v>
      </c>
      <c r="C19" t="s">
        <v>270</v>
      </c>
    </row>
    <row r="20" spans="1:3" x14ac:dyDescent="0.25">
      <c r="A20" t="s">
        <v>257</v>
      </c>
      <c r="B20">
        <f>5*7</f>
        <v>35</v>
      </c>
      <c r="C20" t="s">
        <v>270</v>
      </c>
    </row>
    <row r="21" spans="1:3" x14ac:dyDescent="0.25">
      <c r="A21" t="s">
        <v>272</v>
      </c>
      <c r="B21">
        <v>6</v>
      </c>
      <c r="C21" t="s">
        <v>273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zoomScaleNormal="60" zoomScaleSheetLayoutView="100" workbookViewId="0">
      <pane ySplit="1" topLeftCell="A2" activePane="bottomLeft" state="frozen"/>
      <selection activeCell="B1" sqref="B1"/>
      <selection pane="bottomLeft" activeCell="I11" sqref="I11"/>
    </sheetView>
  </sheetViews>
  <sheetFormatPr defaultRowHeight="15" x14ac:dyDescent="0.25"/>
  <cols>
    <col min="1" max="1" width="24" style="95"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9" width="11.42578125" style="97" bestFit="1" customWidth="1"/>
    <col min="10" max="10" width="10.28515625" style="97" bestFit="1" customWidth="1"/>
    <col min="11" max="11" width="11.42578125" style="97" bestFit="1" customWidth="1"/>
    <col min="12" max="19" width="11.85546875" style="97" bestFit="1" customWidth="1"/>
    <col min="20" max="20" width="12.85546875" style="97" bestFit="1" customWidth="1"/>
    <col min="21" max="21" width="12.5703125" bestFit="1" customWidth="1"/>
  </cols>
  <sheetData>
    <row r="1" spans="1:21" x14ac:dyDescent="0.25">
      <c r="A1" t="s">
        <v>324</v>
      </c>
      <c r="B1" t="s">
        <v>325</v>
      </c>
      <c r="C1" t="s">
        <v>326</v>
      </c>
      <c r="D1" t="s">
        <v>327</v>
      </c>
      <c r="E1" t="s">
        <v>328</v>
      </c>
      <c r="F1" t="s">
        <v>354</v>
      </c>
      <c r="G1" t="s">
        <v>353</v>
      </c>
      <c r="H1" t="s">
        <v>329</v>
      </c>
      <c r="I1" t="s">
        <v>330</v>
      </c>
      <c r="J1" s="97" t="s">
        <v>351</v>
      </c>
      <c r="K1" t="s">
        <v>331</v>
      </c>
      <c r="L1" t="s">
        <v>332</v>
      </c>
      <c r="M1" t="s">
        <v>333</v>
      </c>
      <c r="N1" t="s">
        <v>334</v>
      </c>
      <c r="O1" t="s">
        <v>335</v>
      </c>
      <c r="P1" t="s">
        <v>336</v>
      </c>
      <c r="Q1" t="s">
        <v>337</v>
      </c>
      <c r="R1" t="s">
        <v>338</v>
      </c>
      <c r="S1" t="s">
        <v>339</v>
      </c>
      <c r="T1" t="s">
        <v>340</v>
      </c>
      <c r="U1" t="s">
        <v>352</v>
      </c>
    </row>
    <row r="2" spans="1:21" x14ac:dyDescent="0.25">
      <c r="A2" s="95">
        <v>46075</v>
      </c>
      <c r="B2">
        <v>6</v>
      </c>
      <c r="C2" s="96" t="b">
        <v>0</v>
      </c>
      <c r="D2" s="96" t="b">
        <v>0</v>
      </c>
      <c r="E2">
        <v>12</v>
      </c>
      <c r="F2">
        <v>17</v>
      </c>
      <c r="H2" s="97">
        <v>0.79166666666666663</v>
      </c>
      <c r="I2" s="97">
        <v>0.93055555555555558</v>
      </c>
      <c r="K2" s="97">
        <v>0.81458333333333333</v>
      </c>
      <c r="L2" s="97">
        <v>0.83125000000000004</v>
      </c>
      <c r="M2" s="97">
        <v>0.85486111111111107</v>
      </c>
      <c r="N2" s="97">
        <v>0.87777777777777777</v>
      </c>
      <c r="O2" s="97">
        <v>0.90069444444444446</v>
      </c>
      <c r="P2" s="97">
        <v>0.92638888888888893</v>
      </c>
    </row>
    <row r="3" spans="1:21" x14ac:dyDescent="0.25">
      <c r="A3" s="95">
        <v>46089</v>
      </c>
      <c r="B3">
        <v>6</v>
      </c>
      <c r="C3" s="96" t="b">
        <v>0</v>
      </c>
      <c r="D3" s="96" t="b">
        <v>0</v>
      </c>
      <c r="E3">
        <v>12</v>
      </c>
      <c r="F3">
        <v>18</v>
      </c>
      <c r="G3">
        <v>1</v>
      </c>
      <c r="H3" s="97">
        <v>0.68541666666666667</v>
      </c>
      <c r="I3" s="97">
        <v>0.86527777777777781</v>
      </c>
      <c r="J3" s="97">
        <v>0.6958333333333333</v>
      </c>
      <c r="K3" s="97">
        <v>0.70763888888888893</v>
      </c>
      <c r="L3" s="97">
        <v>0.7270833333333333</v>
      </c>
      <c r="M3" s="97">
        <v>0.75069444444444444</v>
      </c>
      <c r="N3" s="97">
        <v>0.77500000000000002</v>
      </c>
      <c r="O3" s="97">
        <v>0.80347222222222225</v>
      </c>
      <c r="P3" s="97">
        <v>0.82986111111111116</v>
      </c>
      <c r="Q3" s="97">
        <v>0.86041666666666672</v>
      </c>
      <c r="U3" s="97">
        <v>0.86527777777777781</v>
      </c>
    </row>
    <row r="4" spans="1:21" x14ac:dyDescent="0.25">
      <c r="A4" s="95">
        <v>46105</v>
      </c>
      <c r="B4">
        <v>6</v>
      </c>
      <c r="C4" s="96" t="b">
        <v>0</v>
      </c>
      <c r="D4" s="96" t="b">
        <v>0</v>
      </c>
      <c r="E4">
        <v>12</v>
      </c>
      <c r="F4">
        <v>17</v>
      </c>
      <c r="G4">
        <v>10</v>
      </c>
      <c r="H4" s="97">
        <v>0.77500000000000002</v>
      </c>
      <c r="I4" s="97">
        <v>0.92777777777777781</v>
      </c>
      <c r="J4" s="97">
        <v>0.78472222222222221</v>
      </c>
      <c r="K4" s="97">
        <v>0.79236111111111107</v>
      </c>
      <c r="L4" s="97">
        <v>0.81111111111111112</v>
      </c>
      <c r="M4" s="97">
        <v>0.83194444444444449</v>
      </c>
      <c r="N4" s="97">
        <v>0.85277777777777775</v>
      </c>
      <c r="O4" s="97">
        <v>0.88263888888888886</v>
      </c>
      <c r="P4" s="97">
        <v>0.92083333333333328</v>
      </c>
      <c r="U4" s="97">
        <v>0.92777777777777781</v>
      </c>
    </row>
    <row r="5" spans="1:21" x14ac:dyDescent="0.25">
      <c r="A5" s="95">
        <v>46118</v>
      </c>
      <c r="B5">
        <v>6</v>
      </c>
      <c r="C5" s="96" t="b">
        <v>0</v>
      </c>
      <c r="D5" s="96" t="b">
        <v>0</v>
      </c>
      <c r="E5">
        <v>12</v>
      </c>
      <c r="F5">
        <v>20</v>
      </c>
      <c r="G5">
        <v>11</v>
      </c>
      <c r="H5" s="97">
        <v>0.78333333333333333</v>
      </c>
      <c r="I5" s="97">
        <v>0.9194444444444444</v>
      </c>
      <c r="J5" s="97">
        <v>0.7944444444444444</v>
      </c>
      <c r="K5" s="97">
        <v>0.8041666666666667</v>
      </c>
      <c r="L5" s="97">
        <v>0.82291666666666663</v>
      </c>
      <c r="M5" s="97">
        <v>0.84166666666666667</v>
      </c>
      <c r="N5" s="97">
        <v>0.8666666666666667</v>
      </c>
      <c r="O5" s="97">
        <v>0.88958333333333328</v>
      </c>
      <c r="P5" s="97">
        <v>0.91388888888888886</v>
      </c>
      <c r="U5" s="97">
        <v>0.9194444444444444</v>
      </c>
    </row>
    <row r="6" spans="1:21" x14ac:dyDescent="0.25">
      <c r="A6" s="95">
        <v>46124</v>
      </c>
      <c r="B6">
        <v>6</v>
      </c>
      <c r="C6" s="96" t="b">
        <v>0</v>
      </c>
      <c r="D6" s="96" t="b">
        <v>1</v>
      </c>
      <c r="E6">
        <v>5</v>
      </c>
      <c r="F6">
        <v>9</v>
      </c>
      <c r="G6">
        <v>5</v>
      </c>
      <c r="H6" s="97">
        <v>0.64097222222222228</v>
      </c>
      <c r="I6" s="97">
        <v>0.74583333333333335</v>
      </c>
      <c r="J6" s="97">
        <v>0.65833333333333333</v>
      </c>
      <c r="K6" s="97">
        <v>0.68611111111111112</v>
      </c>
      <c r="L6" s="97">
        <v>0.71250000000000002</v>
      </c>
      <c r="M6" s="97">
        <v>0.74027777777777781</v>
      </c>
      <c r="U6" s="97">
        <v>0.74583333333333335</v>
      </c>
    </row>
    <row r="7" spans="1:21" x14ac:dyDescent="0.25">
      <c r="A7" s="95">
        <v>46131</v>
      </c>
      <c r="B7">
        <v>6</v>
      </c>
      <c r="C7" s="96" t="b">
        <v>0</v>
      </c>
      <c r="D7" s="96" t="b">
        <v>0</v>
      </c>
      <c r="E7">
        <v>12</v>
      </c>
      <c r="F7">
        <v>22</v>
      </c>
      <c r="G7">
        <v>6</v>
      </c>
      <c r="H7" s="97">
        <v>0.54652777777777772</v>
      </c>
      <c r="I7" s="97">
        <v>0.70277777777777772</v>
      </c>
      <c r="J7" s="97">
        <v>0.55694444444444446</v>
      </c>
      <c r="K7" s="97">
        <v>0.57222222222222219</v>
      </c>
      <c r="L7" s="97">
        <v>0.59652777777777777</v>
      </c>
      <c r="M7" s="97">
        <v>0.61805555555555558</v>
      </c>
      <c r="N7" s="97">
        <v>0.64583333333333337</v>
      </c>
      <c r="O7" s="97">
        <v>0.67500000000000004</v>
      </c>
      <c r="P7" s="97">
        <v>0.69930555555555551</v>
      </c>
      <c r="U7" s="97">
        <v>0.70277777777777772</v>
      </c>
    </row>
    <row r="8" spans="1:21" x14ac:dyDescent="0.25">
      <c r="A8" s="95">
        <v>46138</v>
      </c>
      <c r="B8">
        <v>6</v>
      </c>
      <c r="C8" s="96" t="b">
        <v>0</v>
      </c>
      <c r="D8" s="96" t="b">
        <v>0</v>
      </c>
      <c r="E8">
        <v>8</v>
      </c>
      <c r="F8">
        <v>8</v>
      </c>
      <c r="G8">
        <v>3</v>
      </c>
      <c r="H8" s="97">
        <v>0.63888888888888884</v>
      </c>
      <c r="I8" s="97">
        <v>0.69513888888888886</v>
      </c>
      <c r="J8" s="97">
        <v>0.64444444444444449</v>
      </c>
      <c r="K8" s="97">
        <v>0.65416666666666667</v>
      </c>
      <c r="L8" s="97">
        <v>0.67013888888888884</v>
      </c>
      <c r="M8" s="97">
        <v>0.69166666666666665</v>
      </c>
      <c r="U8" s="97">
        <v>0.69513888888888886</v>
      </c>
    </row>
    <row r="9" spans="1:21" x14ac:dyDescent="0.25">
      <c r="A9" s="95">
        <v>46145</v>
      </c>
      <c r="B9">
        <v>6</v>
      </c>
      <c r="C9" s="96" t="b">
        <v>0</v>
      </c>
      <c r="D9" s="96" t="b">
        <v>0</v>
      </c>
      <c r="E9">
        <v>12</v>
      </c>
      <c r="F9">
        <v>30</v>
      </c>
      <c r="G9">
        <v>18</v>
      </c>
      <c r="H9" s="97">
        <v>0.60624999999999996</v>
      </c>
      <c r="I9" s="97">
        <v>0.71666666666666667</v>
      </c>
      <c r="J9" s="97">
        <v>0.61250000000000004</v>
      </c>
      <c r="K9" s="97">
        <v>0.62222222222222223</v>
      </c>
      <c r="L9" s="97">
        <v>0.64027777777777772</v>
      </c>
      <c r="M9" s="97">
        <v>0.65833333333333333</v>
      </c>
      <c r="N9" s="97">
        <v>0.6791666666666667</v>
      </c>
      <c r="O9" s="97">
        <v>0.69722222222222219</v>
      </c>
      <c r="P9" s="97">
        <v>0.71250000000000002</v>
      </c>
      <c r="U9" s="97">
        <v>0.71666666666666667</v>
      </c>
    </row>
    <row r="10" spans="1:21" x14ac:dyDescent="0.25">
      <c r="A10" s="95">
        <v>46152</v>
      </c>
      <c r="B10">
        <v>4</v>
      </c>
      <c r="C10" s="96" t="b">
        <v>0</v>
      </c>
      <c r="D10" s="96" t="b">
        <v>0</v>
      </c>
      <c r="E10">
        <v>12</v>
      </c>
      <c r="F10">
        <v>21</v>
      </c>
      <c r="G10">
        <v>0</v>
      </c>
      <c r="H10" s="97">
        <v>0.54791666666666672</v>
      </c>
      <c r="I10" s="97">
        <v>0.625</v>
      </c>
      <c r="J10" s="97">
        <v>0.55347222222222225</v>
      </c>
      <c r="K10" s="97">
        <v>0.56180555555555556</v>
      </c>
      <c r="L10" s="97">
        <v>0.57361111111111107</v>
      </c>
      <c r="M10" s="97">
        <v>0.58611111111111114</v>
      </c>
      <c r="N10" s="97">
        <v>0.60486111111111107</v>
      </c>
      <c r="O10" s="97">
        <v>0.61875000000000002</v>
      </c>
      <c r="U10" s="97">
        <v>0.625</v>
      </c>
    </row>
    <row r="11" spans="1:21" x14ac:dyDescent="0.25">
      <c r="A11" s="95">
        <v>46158</v>
      </c>
      <c r="B11">
        <v>5</v>
      </c>
      <c r="C11" s="96" t="b">
        <v>0</v>
      </c>
      <c r="D11" s="96" t="b">
        <v>0</v>
      </c>
      <c r="E11">
        <v>12</v>
      </c>
      <c r="F11">
        <v>24</v>
      </c>
      <c r="G11">
        <v>12</v>
      </c>
      <c r="H11" s="97">
        <v>0.84236111111111112</v>
      </c>
      <c r="I11" s="97">
        <v>0.99236111111111114</v>
      </c>
      <c r="J11" s="97">
        <v>0.85902777777777772</v>
      </c>
      <c r="K11" s="97">
        <v>0.87222222222222223</v>
      </c>
      <c r="L11" s="97">
        <v>0.88958333333333328</v>
      </c>
      <c r="M11" s="97">
        <v>0.90625</v>
      </c>
      <c r="N11" s="97">
        <v>0.92708333333333337</v>
      </c>
      <c r="O11" s="97">
        <v>0.95833333333333337</v>
      </c>
      <c r="P11" s="97">
        <v>0.98888888888888893</v>
      </c>
      <c r="U11" s="97">
        <v>0.99236111111111114</v>
      </c>
    </row>
    <row r="12" spans="1:21" x14ac:dyDescent="0.25">
      <c r="C12" s="96" t="b">
        <v>0</v>
      </c>
      <c r="D12" s="96" t="b">
        <v>0</v>
      </c>
    </row>
    <row r="13" spans="1:21" x14ac:dyDescent="0.25">
      <c r="C13" s="96" t="b">
        <v>0</v>
      </c>
      <c r="D13" s="96" t="b">
        <v>0</v>
      </c>
    </row>
    <row r="14" spans="1:21" x14ac:dyDescent="0.25">
      <c r="C14" s="96" t="b">
        <v>0</v>
      </c>
      <c r="D14" s="96" t="b">
        <v>0</v>
      </c>
    </row>
    <row r="15" spans="1:21" x14ac:dyDescent="0.25">
      <c r="C15" s="96" t="b">
        <v>0</v>
      </c>
      <c r="D15" s="96" t="b">
        <v>0</v>
      </c>
    </row>
    <row r="16" spans="1:21" x14ac:dyDescent="0.25">
      <c r="C16" s="96" t="b">
        <v>0</v>
      </c>
      <c r="D16" s="96" t="b">
        <v>0</v>
      </c>
    </row>
    <row r="17" spans="3:4" x14ac:dyDescent="0.25">
      <c r="C17" s="96" t="b">
        <v>0</v>
      </c>
      <c r="D17" s="96" t="b">
        <v>0</v>
      </c>
    </row>
    <row r="18" spans="3:4" x14ac:dyDescent="0.25">
      <c r="C18" s="96" t="b">
        <v>0</v>
      </c>
      <c r="D18" s="96" t="b">
        <v>0</v>
      </c>
    </row>
    <row r="19" spans="3:4" x14ac:dyDescent="0.25">
      <c r="C19" s="96" t="b">
        <v>0</v>
      </c>
      <c r="D19" s="96" t="b">
        <v>0</v>
      </c>
    </row>
    <row r="20" spans="3:4" x14ac:dyDescent="0.25">
      <c r="C20" s="96" t="b">
        <v>0</v>
      </c>
      <c r="D20" s="96" t="b">
        <v>0</v>
      </c>
    </row>
    <row r="21" spans="3:4" x14ac:dyDescent="0.25">
      <c r="C21" s="96" t="b">
        <v>0</v>
      </c>
      <c r="D21" s="96" t="b">
        <v>0</v>
      </c>
    </row>
    <row r="22" spans="3:4" x14ac:dyDescent="0.25">
      <c r="C22" s="96" t="b">
        <v>0</v>
      </c>
      <c r="D22" s="96" t="b">
        <v>0</v>
      </c>
    </row>
    <row r="23" spans="3:4" x14ac:dyDescent="0.25">
      <c r="C23" s="96" t="b">
        <v>0</v>
      </c>
      <c r="D23" s="96" t="b">
        <v>0</v>
      </c>
    </row>
    <row r="24" spans="3:4" x14ac:dyDescent="0.25">
      <c r="C24" s="96" t="b">
        <v>0</v>
      </c>
      <c r="D24" s="96" t="b">
        <v>0</v>
      </c>
    </row>
    <row r="25" spans="3:4" x14ac:dyDescent="0.25">
      <c r="C25" s="96" t="b">
        <v>0</v>
      </c>
      <c r="D25" s="96" t="b">
        <v>0</v>
      </c>
    </row>
    <row r="26" spans="3:4" x14ac:dyDescent="0.25">
      <c r="C26" s="96" t="b">
        <v>0</v>
      </c>
      <c r="D26" s="96" t="b">
        <v>0</v>
      </c>
    </row>
    <row r="27" spans="3:4" x14ac:dyDescent="0.25">
      <c r="C27" s="96" t="b">
        <v>0</v>
      </c>
      <c r="D27" s="96" t="b">
        <v>0</v>
      </c>
    </row>
    <row r="28" spans="3:4" x14ac:dyDescent="0.25">
      <c r="C28" s="96" t="b">
        <v>0</v>
      </c>
      <c r="D28" s="96" t="b">
        <v>0</v>
      </c>
    </row>
    <row r="29" spans="3:4" x14ac:dyDescent="0.25">
      <c r="C29" s="96" t="b">
        <v>0</v>
      </c>
      <c r="D29" s="96" t="b">
        <v>0</v>
      </c>
    </row>
    <row r="30" spans="3:4" x14ac:dyDescent="0.25">
      <c r="C30" s="96" t="b">
        <v>0</v>
      </c>
      <c r="D30" s="96" t="b">
        <v>0</v>
      </c>
    </row>
    <row r="31" spans="3:4" x14ac:dyDescent="0.25">
      <c r="C31" s="96" t="b">
        <v>0</v>
      </c>
      <c r="D31" s="96" t="b">
        <v>0</v>
      </c>
    </row>
    <row r="32" spans="3:4" x14ac:dyDescent="0.25">
      <c r="C32" s="96" t="b">
        <v>0</v>
      </c>
      <c r="D32" s="96" t="b">
        <v>0</v>
      </c>
    </row>
    <row r="33" spans="3:4" x14ac:dyDescent="0.25">
      <c r="C33" s="96" t="b">
        <v>0</v>
      </c>
      <c r="D33" s="96" t="b">
        <v>0</v>
      </c>
    </row>
    <row r="34" spans="3:4" x14ac:dyDescent="0.25">
      <c r="C34" s="96" t="b">
        <v>0</v>
      </c>
      <c r="D34" s="96" t="b">
        <v>0</v>
      </c>
    </row>
    <row r="35" spans="3:4" x14ac:dyDescent="0.25">
      <c r="C35" s="96" t="b">
        <v>0</v>
      </c>
      <c r="D35" s="96" t="b">
        <v>0</v>
      </c>
    </row>
    <row r="36" spans="3:4" x14ac:dyDescent="0.25">
      <c r="C36" s="96" t="b">
        <v>0</v>
      </c>
      <c r="D36" s="96" t="b">
        <v>0</v>
      </c>
    </row>
    <row r="37" spans="3:4" x14ac:dyDescent="0.25">
      <c r="C37" s="96" t="b">
        <v>0</v>
      </c>
      <c r="D37" s="96" t="b">
        <v>0</v>
      </c>
    </row>
    <row r="38" spans="3:4" x14ac:dyDescent="0.25">
      <c r="C38" s="96" t="b">
        <v>0</v>
      </c>
      <c r="D38" s="96" t="b">
        <v>0</v>
      </c>
    </row>
    <row r="39" spans="3:4" x14ac:dyDescent="0.25">
      <c r="C39" s="96" t="b">
        <v>0</v>
      </c>
      <c r="D39" s="96" t="b">
        <v>0</v>
      </c>
    </row>
    <row r="40" spans="3:4" x14ac:dyDescent="0.25">
      <c r="C40" s="96" t="b">
        <v>0</v>
      </c>
      <c r="D40" s="96" t="b">
        <v>0</v>
      </c>
    </row>
    <row r="41" spans="3:4" x14ac:dyDescent="0.25">
      <c r="C41" s="96" t="b">
        <v>0</v>
      </c>
      <c r="D41" s="96" t="b">
        <v>0</v>
      </c>
    </row>
    <row r="42" spans="3:4" x14ac:dyDescent="0.25">
      <c r="C42" s="96" t="b">
        <v>0</v>
      </c>
      <c r="D42" s="96" t="b">
        <v>0</v>
      </c>
    </row>
    <row r="43" spans="3:4" x14ac:dyDescent="0.25">
      <c r="C43" s="96" t="b">
        <v>0</v>
      </c>
      <c r="D43" s="96" t="b">
        <v>0</v>
      </c>
    </row>
    <row r="44" spans="3:4" x14ac:dyDescent="0.25">
      <c r="C44" s="96" t="b">
        <v>0</v>
      </c>
      <c r="D44" s="96" t="b">
        <v>0</v>
      </c>
    </row>
    <row r="45" spans="3:4" x14ac:dyDescent="0.25">
      <c r="C45" s="96" t="b">
        <v>0</v>
      </c>
      <c r="D45" s="96" t="b">
        <v>0</v>
      </c>
    </row>
    <row r="46" spans="3:4" x14ac:dyDescent="0.25">
      <c r="C46" s="96" t="b">
        <v>0</v>
      </c>
      <c r="D46" s="96" t="b">
        <v>0</v>
      </c>
    </row>
    <row r="47" spans="3:4" x14ac:dyDescent="0.25">
      <c r="C47" s="96" t="b">
        <v>0</v>
      </c>
      <c r="D47" s="96" t="b">
        <v>0</v>
      </c>
    </row>
    <row r="48" spans="3:4" x14ac:dyDescent="0.25">
      <c r="C48" s="96" t="b">
        <v>0</v>
      </c>
      <c r="D48" s="96" t="b">
        <v>0</v>
      </c>
    </row>
    <row r="49" spans="3:4" x14ac:dyDescent="0.25">
      <c r="C49" s="96" t="b">
        <v>0</v>
      </c>
      <c r="D49" s="96" t="b">
        <v>0</v>
      </c>
    </row>
    <row r="50" spans="3:4" x14ac:dyDescent="0.25">
      <c r="C50" s="96" t="b">
        <v>0</v>
      </c>
      <c r="D50" s="96" t="b">
        <v>0</v>
      </c>
    </row>
    <row r="51" spans="3:4" x14ac:dyDescent="0.25">
      <c r="C51" s="96" t="b">
        <v>0</v>
      </c>
      <c r="D51" s="96" t="b">
        <v>0</v>
      </c>
    </row>
    <row r="52" spans="3:4" x14ac:dyDescent="0.25">
      <c r="C52" s="96" t="b">
        <v>0</v>
      </c>
      <c r="D52" s="96" t="b">
        <v>0</v>
      </c>
    </row>
    <row r="53" spans="3:4" x14ac:dyDescent="0.25">
      <c r="C53" s="96" t="b">
        <v>0</v>
      </c>
      <c r="D53" s="96" t="b">
        <v>0</v>
      </c>
    </row>
    <row r="54" spans="3:4" x14ac:dyDescent="0.25">
      <c r="C54" s="96" t="b">
        <v>0</v>
      </c>
      <c r="D54" s="96" t="b">
        <v>0</v>
      </c>
    </row>
    <row r="55" spans="3:4" x14ac:dyDescent="0.25">
      <c r="C55" s="96" t="b">
        <v>0</v>
      </c>
      <c r="D55" s="96"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2026-06-26T16:17:58Z</dcterms:modified>
  <cp:category/>
  <cp:contentStatus/>
</cp:coreProperties>
</file>